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yoffice.accenture.com/personal/oriol_pina_accenture_com/Documents/Desktop/Projectes/04. API/Duty-Cockpit-2.0/"/>
    </mc:Choice>
  </mc:AlternateContent>
  <xr:revisionPtr revIDLastSave="57" documentId="11_77159466684255B6E81C4F23E49C36ABCA57EE19" xr6:coauthVersionLast="47" xr6:coauthVersionMax="47" xr10:uidLastSave="{54EE8E96-B15B-451A-BF34-76018F9F7C26}"/>
  <bookViews>
    <workbookView xWindow="-110" yWindow="-110" windowWidth="19420" windowHeight="11500" activeTab="1" xr2:uid="{00000000-000D-0000-FFFF-FFFF00000000}"/>
  </bookViews>
  <sheets>
    <sheet name="Summary" sheetId="1" r:id="rId1"/>
    <sheet name="Transactions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05" i="2" l="1"/>
  <c r="N206" i="2"/>
  <c r="N207" i="2"/>
  <c r="N208" i="2"/>
  <c r="N209" i="2"/>
  <c r="N210" i="2"/>
  <c r="N211" i="2"/>
  <c r="N212" i="2"/>
  <c r="N213" i="2"/>
  <c r="O205" i="2"/>
  <c r="M205" i="2" s="1"/>
  <c r="O206" i="2"/>
  <c r="M206" i="2" s="1"/>
  <c r="O207" i="2"/>
  <c r="M207" i="2" s="1"/>
  <c r="O208" i="2"/>
  <c r="M208" i="2" s="1"/>
  <c r="O209" i="2"/>
  <c r="M209" i="2" s="1"/>
  <c r="O210" i="2"/>
  <c r="M210" i="2" s="1"/>
  <c r="O211" i="2"/>
  <c r="M211" i="2" s="1"/>
  <c r="O212" i="2"/>
  <c r="M212" i="2" s="1"/>
  <c r="O213" i="2"/>
  <c r="M213" i="2" s="1"/>
  <c r="N201" i="2"/>
  <c r="N202" i="2"/>
  <c r="N203" i="2"/>
  <c r="N204" i="2"/>
  <c r="O201" i="2"/>
  <c r="M201" i="2" s="1"/>
  <c r="O202" i="2"/>
  <c r="M202" i="2" s="1"/>
  <c r="O203" i="2"/>
  <c r="M203" i="2" s="1"/>
  <c r="O204" i="2"/>
  <c r="M204" i="2" s="1"/>
  <c r="O200" i="2"/>
  <c r="M200" i="2" s="1"/>
  <c r="N200" i="2"/>
  <c r="O199" i="2"/>
  <c r="M199" i="2" s="1"/>
  <c r="N199" i="2"/>
  <c r="O198" i="2"/>
  <c r="M198" i="2" s="1"/>
  <c r="N198" i="2"/>
  <c r="O197" i="2"/>
  <c r="N197" i="2"/>
  <c r="M197" i="2"/>
  <c r="O196" i="2"/>
  <c r="M196" i="2" s="1"/>
  <c r="N196" i="2"/>
  <c r="O195" i="2"/>
  <c r="M195" i="2" s="1"/>
  <c r="N195" i="2"/>
  <c r="O194" i="2"/>
  <c r="M194" i="2" s="1"/>
  <c r="N194" i="2"/>
  <c r="O193" i="2"/>
  <c r="N193" i="2"/>
  <c r="M193" i="2"/>
  <c r="O192" i="2"/>
  <c r="M192" i="2" s="1"/>
  <c r="N192" i="2"/>
  <c r="O191" i="2"/>
  <c r="M191" i="2" s="1"/>
  <c r="N191" i="2"/>
  <c r="O190" i="2"/>
  <c r="M190" i="2" s="1"/>
  <c r="N190" i="2"/>
  <c r="O189" i="2"/>
  <c r="N189" i="2"/>
  <c r="M189" i="2"/>
  <c r="O188" i="2"/>
  <c r="M188" i="2" s="1"/>
  <c r="N188" i="2"/>
  <c r="O187" i="2"/>
  <c r="M187" i="2" s="1"/>
  <c r="N187" i="2"/>
  <c r="O186" i="2"/>
  <c r="M186" i="2" s="1"/>
  <c r="N186" i="2"/>
  <c r="O185" i="2"/>
  <c r="N185" i="2"/>
  <c r="M185" i="2"/>
  <c r="O184" i="2"/>
  <c r="M184" i="2" s="1"/>
  <c r="N184" i="2"/>
  <c r="O183" i="2"/>
  <c r="M183" i="2" s="1"/>
  <c r="N183" i="2"/>
  <c r="O182" i="2"/>
  <c r="M182" i="2" s="1"/>
  <c r="N182" i="2"/>
  <c r="O181" i="2"/>
  <c r="N181" i="2"/>
  <c r="M181" i="2"/>
  <c r="O180" i="2"/>
  <c r="M180" i="2" s="1"/>
  <c r="N180" i="2"/>
  <c r="O179" i="2"/>
  <c r="M179" i="2" s="1"/>
  <c r="N179" i="2"/>
  <c r="O178" i="2"/>
  <c r="M178" i="2" s="1"/>
  <c r="N178" i="2"/>
  <c r="O177" i="2"/>
  <c r="N177" i="2"/>
  <c r="M177" i="2"/>
  <c r="O176" i="2"/>
  <c r="M176" i="2" s="1"/>
  <c r="N176" i="2"/>
  <c r="O175" i="2"/>
  <c r="M175" i="2" s="1"/>
  <c r="N175" i="2"/>
  <c r="O174" i="2"/>
  <c r="M174" i="2" s="1"/>
  <c r="N174" i="2"/>
  <c r="O173" i="2"/>
  <c r="N173" i="2"/>
  <c r="M173" i="2"/>
  <c r="O172" i="2"/>
  <c r="M172" i="2" s="1"/>
  <c r="N172" i="2"/>
  <c r="O171" i="2"/>
  <c r="M171" i="2" s="1"/>
  <c r="N171" i="2"/>
  <c r="O170" i="2"/>
  <c r="M170" i="2" s="1"/>
  <c r="N170" i="2"/>
  <c r="O169" i="2"/>
  <c r="N169" i="2"/>
  <c r="M169" i="2"/>
  <c r="O168" i="2"/>
  <c r="M168" i="2" s="1"/>
  <c r="N168" i="2"/>
  <c r="O167" i="2"/>
  <c r="M167" i="2" s="1"/>
  <c r="N167" i="2"/>
  <c r="O166" i="2"/>
  <c r="M166" i="2" s="1"/>
  <c r="N166" i="2"/>
  <c r="O165" i="2"/>
  <c r="N165" i="2"/>
  <c r="M165" i="2"/>
  <c r="O164" i="2"/>
  <c r="M164" i="2" s="1"/>
  <c r="N164" i="2"/>
  <c r="O163" i="2"/>
  <c r="M163" i="2" s="1"/>
  <c r="N163" i="2"/>
  <c r="O162" i="2"/>
  <c r="M162" i="2" s="1"/>
  <c r="N162" i="2"/>
  <c r="O161" i="2"/>
  <c r="N161" i="2"/>
  <c r="M161" i="2"/>
  <c r="O160" i="2"/>
  <c r="M160" i="2" s="1"/>
  <c r="N160" i="2"/>
  <c r="O159" i="2"/>
  <c r="M159" i="2" s="1"/>
  <c r="N159" i="2"/>
  <c r="O158" i="2"/>
  <c r="M158" i="2" s="1"/>
  <c r="N158" i="2"/>
  <c r="O157" i="2"/>
  <c r="N157" i="2"/>
  <c r="M157" i="2"/>
  <c r="O156" i="2"/>
  <c r="M156" i="2" s="1"/>
  <c r="N156" i="2"/>
  <c r="O155" i="2"/>
  <c r="M155" i="2" s="1"/>
  <c r="N155" i="2"/>
  <c r="O154" i="2"/>
  <c r="M154" i="2" s="1"/>
  <c r="N154" i="2"/>
  <c r="O153" i="2"/>
  <c r="N153" i="2"/>
  <c r="M153" i="2"/>
  <c r="O152" i="2"/>
  <c r="M152" i="2" s="1"/>
  <c r="N152" i="2"/>
  <c r="O151" i="2"/>
  <c r="M151" i="2" s="1"/>
  <c r="N151" i="2"/>
  <c r="O150" i="2"/>
  <c r="M150" i="2" s="1"/>
  <c r="N150" i="2"/>
  <c r="O149" i="2"/>
  <c r="N149" i="2"/>
  <c r="M149" i="2"/>
  <c r="O148" i="2"/>
  <c r="M148" i="2" s="1"/>
  <c r="N148" i="2"/>
  <c r="O147" i="2"/>
  <c r="M147" i="2" s="1"/>
  <c r="N147" i="2"/>
  <c r="O146" i="2"/>
  <c r="M146" i="2" s="1"/>
  <c r="N146" i="2"/>
  <c r="O145" i="2"/>
  <c r="N145" i="2"/>
  <c r="M145" i="2"/>
  <c r="O144" i="2"/>
  <c r="M144" i="2" s="1"/>
  <c r="N144" i="2"/>
  <c r="O143" i="2"/>
  <c r="M143" i="2" s="1"/>
  <c r="N143" i="2"/>
  <c r="O142" i="2"/>
  <c r="M142" i="2" s="1"/>
  <c r="N142" i="2"/>
  <c r="O141" i="2"/>
  <c r="N141" i="2"/>
  <c r="M141" i="2"/>
  <c r="O140" i="2"/>
  <c r="M140" i="2" s="1"/>
  <c r="N140" i="2"/>
  <c r="O139" i="2"/>
  <c r="M139" i="2" s="1"/>
  <c r="N139" i="2"/>
  <c r="O138" i="2"/>
  <c r="M138" i="2" s="1"/>
  <c r="N138" i="2"/>
  <c r="O137" i="2"/>
  <c r="N137" i="2"/>
  <c r="M137" i="2"/>
  <c r="O136" i="2"/>
  <c r="M136" i="2" s="1"/>
  <c r="N136" i="2"/>
  <c r="O135" i="2"/>
  <c r="M135" i="2" s="1"/>
  <c r="N135" i="2"/>
  <c r="O134" i="2"/>
  <c r="M134" i="2" s="1"/>
  <c r="N134" i="2"/>
  <c r="O133" i="2"/>
  <c r="N133" i="2"/>
  <c r="M133" i="2"/>
  <c r="O132" i="2"/>
  <c r="M132" i="2" s="1"/>
  <c r="N132" i="2"/>
  <c r="O131" i="2"/>
  <c r="M131" i="2" s="1"/>
  <c r="N131" i="2"/>
  <c r="O130" i="2"/>
  <c r="M130" i="2" s="1"/>
  <c r="N130" i="2"/>
  <c r="O129" i="2"/>
  <c r="N129" i="2"/>
  <c r="M129" i="2"/>
  <c r="O128" i="2"/>
  <c r="M128" i="2" s="1"/>
  <c r="N128" i="2"/>
  <c r="O127" i="2"/>
  <c r="M127" i="2" s="1"/>
  <c r="N127" i="2"/>
  <c r="O126" i="2"/>
  <c r="M126" i="2" s="1"/>
  <c r="N126" i="2"/>
  <c r="O125" i="2"/>
  <c r="N125" i="2"/>
  <c r="M125" i="2"/>
  <c r="O124" i="2"/>
  <c r="M124" i="2" s="1"/>
  <c r="N124" i="2"/>
  <c r="O123" i="2"/>
  <c r="M123" i="2" s="1"/>
  <c r="N123" i="2"/>
  <c r="O122" i="2"/>
  <c r="M122" i="2" s="1"/>
  <c r="N122" i="2"/>
  <c r="O121" i="2"/>
  <c r="N121" i="2"/>
  <c r="M121" i="2"/>
  <c r="O120" i="2"/>
  <c r="M120" i="2" s="1"/>
  <c r="N120" i="2"/>
  <c r="O119" i="2"/>
  <c r="M119" i="2" s="1"/>
  <c r="N119" i="2"/>
  <c r="O118" i="2"/>
  <c r="M118" i="2" s="1"/>
  <c r="N118" i="2"/>
  <c r="O117" i="2"/>
  <c r="N117" i="2"/>
  <c r="M117" i="2"/>
  <c r="O116" i="2"/>
  <c r="M116" i="2" s="1"/>
  <c r="N116" i="2"/>
  <c r="O115" i="2"/>
  <c r="M115" i="2" s="1"/>
  <c r="N115" i="2"/>
  <c r="O114" i="2"/>
  <c r="M114" i="2" s="1"/>
  <c r="N114" i="2"/>
  <c r="O113" i="2"/>
  <c r="N113" i="2"/>
  <c r="M113" i="2"/>
  <c r="O112" i="2"/>
  <c r="M112" i="2" s="1"/>
  <c r="N112" i="2"/>
  <c r="O111" i="2"/>
  <c r="M111" i="2" s="1"/>
  <c r="N111" i="2"/>
  <c r="O110" i="2"/>
  <c r="M110" i="2" s="1"/>
  <c r="N110" i="2"/>
  <c r="O109" i="2"/>
  <c r="N109" i="2"/>
  <c r="M109" i="2"/>
  <c r="O108" i="2"/>
  <c r="M108" i="2" s="1"/>
  <c r="N108" i="2"/>
  <c r="O107" i="2"/>
  <c r="M107" i="2" s="1"/>
  <c r="N107" i="2"/>
  <c r="O106" i="2"/>
  <c r="M106" i="2" s="1"/>
  <c r="N106" i="2"/>
  <c r="O105" i="2"/>
  <c r="N105" i="2"/>
  <c r="M105" i="2"/>
  <c r="O104" i="2"/>
  <c r="M104" i="2" s="1"/>
  <c r="N104" i="2"/>
  <c r="O103" i="2"/>
  <c r="M103" i="2" s="1"/>
  <c r="N103" i="2"/>
  <c r="O102" i="2"/>
  <c r="M102" i="2" s="1"/>
  <c r="N102" i="2"/>
  <c r="O101" i="2"/>
  <c r="N101" i="2"/>
  <c r="M101" i="2"/>
  <c r="O100" i="2"/>
  <c r="M100" i="2" s="1"/>
  <c r="N100" i="2"/>
  <c r="O99" i="2"/>
  <c r="M99" i="2" s="1"/>
  <c r="N99" i="2"/>
  <c r="O98" i="2"/>
  <c r="M98" i="2" s="1"/>
  <c r="N98" i="2"/>
  <c r="O97" i="2"/>
  <c r="N97" i="2"/>
  <c r="M97" i="2"/>
  <c r="O96" i="2"/>
  <c r="M96" i="2" s="1"/>
  <c r="N96" i="2"/>
  <c r="O95" i="2"/>
  <c r="M95" i="2" s="1"/>
  <c r="N95" i="2"/>
  <c r="O94" i="2"/>
  <c r="M94" i="2" s="1"/>
  <c r="N94" i="2"/>
  <c r="O93" i="2"/>
  <c r="N93" i="2"/>
  <c r="M93" i="2"/>
  <c r="O92" i="2"/>
  <c r="M92" i="2" s="1"/>
  <c r="N92" i="2"/>
  <c r="O91" i="2"/>
  <c r="M91" i="2" s="1"/>
  <c r="N91" i="2"/>
  <c r="O90" i="2"/>
  <c r="M90" i="2" s="1"/>
  <c r="N90" i="2"/>
  <c r="O89" i="2"/>
  <c r="N89" i="2"/>
  <c r="M89" i="2"/>
  <c r="O88" i="2"/>
  <c r="M88" i="2" s="1"/>
  <c r="N88" i="2"/>
  <c r="O87" i="2"/>
  <c r="M87" i="2" s="1"/>
  <c r="N87" i="2"/>
  <c r="O86" i="2"/>
  <c r="M86" i="2" s="1"/>
  <c r="N86" i="2"/>
  <c r="O85" i="2"/>
  <c r="N85" i="2"/>
  <c r="M85" i="2"/>
  <c r="O84" i="2"/>
  <c r="M84" i="2" s="1"/>
  <c r="N84" i="2"/>
  <c r="O83" i="2"/>
  <c r="M83" i="2" s="1"/>
  <c r="N83" i="2"/>
  <c r="O82" i="2"/>
  <c r="M82" i="2" s="1"/>
  <c r="N82" i="2"/>
  <c r="O81" i="2"/>
  <c r="N81" i="2"/>
  <c r="M81" i="2"/>
  <c r="O80" i="2"/>
  <c r="M80" i="2" s="1"/>
  <c r="N80" i="2"/>
  <c r="O79" i="2"/>
  <c r="M79" i="2" s="1"/>
  <c r="N79" i="2"/>
  <c r="O78" i="2"/>
  <c r="M78" i="2" s="1"/>
  <c r="N78" i="2"/>
  <c r="O77" i="2"/>
  <c r="N77" i="2"/>
  <c r="M77" i="2"/>
  <c r="O76" i="2"/>
  <c r="N76" i="2"/>
  <c r="M76" i="2"/>
  <c r="O75" i="2"/>
  <c r="M75" i="2" s="1"/>
  <c r="N75" i="2"/>
  <c r="O74" i="2"/>
  <c r="M74" i="2" s="1"/>
  <c r="N74" i="2"/>
  <c r="O73" i="2"/>
  <c r="N73" i="2"/>
  <c r="M73" i="2"/>
  <c r="O72" i="2"/>
  <c r="N72" i="2"/>
  <c r="M72" i="2"/>
  <c r="O71" i="2"/>
  <c r="M71" i="2" s="1"/>
  <c r="N71" i="2"/>
  <c r="O70" i="2"/>
  <c r="M70" i="2" s="1"/>
  <c r="N70" i="2"/>
  <c r="O69" i="2"/>
  <c r="N69" i="2"/>
  <c r="M69" i="2"/>
  <c r="O68" i="2"/>
  <c r="N68" i="2"/>
  <c r="M68" i="2"/>
  <c r="O67" i="2"/>
  <c r="M67" i="2" s="1"/>
  <c r="N67" i="2"/>
  <c r="O66" i="2"/>
  <c r="M66" i="2" s="1"/>
  <c r="N66" i="2"/>
  <c r="O65" i="2"/>
  <c r="N65" i="2"/>
  <c r="M65" i="2"/>
  <c r="O64" i="2"/>
  <c r="N64" i="2"/>
  <c r="M64" i="2"/>
  <c r="O63" i="2"/>
  <c r="M63" i="2" s="1"/>
  <c r="N63" i="2"/>
  <c r="O62" i="2"/>
  <c r="M62" i="2" s="1"/>
  <c r="N62" i="2"/>
  <c r="O61" i="2"/>
  <c r="N61" i="2"/>
  <c r="M61" i="2"/>
  <c r="O60" i="2"/>
  <c r="N60" i="2"/>
  <c r="M60" i="2"/>
  <c r="O59" i="2"/>
  <c r="M59" i="2" s="1"/>
  <c r="N59" i="2"/>
  <c r="O58" i="2"/>
  <c r="M58" i="2" s="1"/>
  <c r="N58" i="2"/>
  <c r="O57" i="2"/>
  <c r="N57" i="2"/>
  <c r="M57" i="2"/>
  <c r="O56" i="2"/>
  <c r="N56" i="2"/>
  <c r="M56" i="2"/>
  <c r="O55" i="2"/>
  <c r="M55" i="2" s="1"/>
  <c r="N55" i="2"/>
  <c r="O54" i="2"/>
  <c r="M54" i="2" s="1"/>
  <c r="N54" i="2"/>
  <c r="O53" i="2"/>
  <c r="N53" i="2"/>
  <c r="M53" i="2"/>
  <c r="O52" i="2"/>
  <c r="N52" i="2"/>
  <c r="M52" i="2"/>
  <c r="O51" i="2"/>
  <c r="M51" i="2" s="1"/>
  <c r="N51" i="2"/>
  <c r="O50" i="2"/>
  <c r="M50" i="2" s="1"/>
  <c r="N50" i="2"/>
  <c r="O49" i="2"/>
  <c r="N49" i="2"/>
  <c r="M49" i="2"/>
  <c r="O48" i="2"/>
  <c r="N48" i="2"/>
  <c r="M48" i="2"/>
  <c r="O47" i="2"/>
  <c r="M47" i="2" s="1"/>
  <c r="N47" i="2"/>
  <c r="O46" i="2"/>
  <c r="M46" i="2" s="1"/>
  <c r="N46" i="2"/>
  <c r="O45" i="2"/>
  <c r="N45" i="2"/>
  <c r="M45" i="2"/>
  <c r="O44" i="2"/>
  <c r="N44" i="2"/>
  <c r="M44" i="2"/>
  <c r="O43" i="2"/>
  <c r="M43" i="2" s="1"/>
  <c r="N43" i="2"/>
  <c r="O42" i="2"/>
  <c r="M42" i="2" s="1"/>
  <c r="N42" i="2"/>
  <c r="O41" i="2"/>
  <c r="N41" i="2"/>
  <c r="M41" i="2"/>
  <c r="O40" i="2"/>
  <c r="N40" i="2"/>
  <c r="M40" i="2"/>
  <c r="O39" i="2"/>
  <c r="M39" i="2" s="1"/>
  <c r="N39" i="2"/>
  <c r="O38" i="2"/>
  <c r="M38" i="2" s="1"/>
  <c r="N38" i="2"/>
  <c r="O37" i="2"/>
  <c r="N37" i="2"/>
  <c r="M37" i="2"/>
  <c r="O36" i="2"/>
  <c r="N36" i="2"/>
  <c r="M36" i="2"/>
  <c r="O35" i="2"/>
  <c r="M35" i="2" s="1"/>
  <c r="N35" i="2"/>
  <c r="O34" i="2"/>
  <c r="M34" i="2" s="1"/>
  <c r="N34" i="2"/>
  <c r="O33" i="2"/>
  <c r="N33" i="2"/>
  <c r="M33" i="2"/>
  <c r="O32" i="2"/>
  <c r="N32" i="2"/>
  <c r="M32" i="2"/>
  <c r="O31" i="2"/>
  <c r="M31" i="2" s="1"/>
  <c r="N31" i="2"/>
  <c r="O30" i="2"/>
  <c r="M30" i="2" s="1"/>
  <c r="N30" i="2"/>
  <c r="O29" i="2"/>
  <c r="N29" i="2"/>
  <c r="M29" i="2"/>
  <c r="O28" i="2"/>
  <c r="N28" i="2"/>
  <c r="M28" i="2"/>
  <c r="O27" i="2"/>
  <c r="M27" i="2" s="1"/>
  <c r="N27" i="2"/>
  <c r="O26" i="2"/>
  <c r="M26" i="2" s="1"/>
  <c r="N26" i="2"/>
  <c r="O25" i="2"/>
  <c r="N25" i="2"/>
  <c r="M25" i="2"/>
  <c r="O24" i="2"/>
  <c r="N24" i="2"/>
  <c r="M24" i="2"/>
  <c r="O23" i="2"/>
  <c r="M23" i="2" s="1"/>
  <c r="N23" i="2"/>
  <c r="O22" i="2"/>
  <c r="M22" i="2" s="1"/>
  <c r="N22" i="2"/>
  <c r="O21" i="2"/>
  <c r="N21" i="2"/>
  <c r="M21" i="2"/>
  <c r="O20" i="2"/>
  <c r="N20" i="2"/>
  <c r="M20" i="2"/>
  <c r="O19" i="2"/>
  <c r="M19" i="2" s="1"/>
  <c r="N19" i="2"/>
  <c r="O18" i="2"/>
  <c r="M18" i="2" s="1"/>
  <c r="N18" i="2"/>
  <c r="O17" i="2"/>
  <c r="N17" i="2"/>
  <c r="M17" i="2"/>
  <c r="O16" i="2"/>
  <c r="N16" i="2"/>
  <c r="M16" i="2"/>
  <c r="O15" i="2"/>
  <c r="M15" i="2" s="1"/>
  <c r="N15" i="2"/>
  <c r="O14" i="2"/>
  <c r="M14" i="2" s="1"/>
  <c r="N14" i="2"/>
  <c r="O13" i="2"/>
  <c r="N13" i="2"/>
  <c r="M13" i="2"/>
  <c r="O12" i="2"/>
  <c r="N12" i="2"/>
  <c r="M12" i="2"/>
  <c r="O11" i="2"/>
  <c r="M11" i="2" s="1"/>
  <c r="N11" i="2"/>
  <c r="O10" i="2"/>
  <c r="M10" i="2" s="1"/>
  <c r="N10" i="2"/>
  <c r="O9" i="2"/>
  <c r="N9" i="2"/>
  <c r="M9" i="2"/>
  <c r="O8" i="2"/>
  <c r="N8" i="2"/>
  <c r="M8" i="2"/>
  <c r="O7" i="2"/>
  <c r="M7" i="2" s="1"/>
  <c r="N7" i="2"/>
  <c r="O6" i="2"/>
  <c r="M6" i="2" s="1"/>
  <c r="N6" i="2"/>
  <c r="O5" i="2"/>
  <c r="N5" i="2"/>
  <c r="M5" i="2"/>
  <c r="O4" i="2"/>
  <c r="N4" i="2"/>
  <c r="M4" i="2"/>
  <c r="O3" i="2"/>
  <c r="M3" i="2" s="1"/>
  <c r="N3" i="2"/>
  <c r="O2" i="2"/>
  <c r="M2" i="2" s="1"/>
  <c r="N2" i="2"/>
</calcChain>
</file>

<file path=xl/sharedStrings.xml><?xml version="1.0" encoding="utf-8"?>
<sst xmlns="http://schemas.openxmlformats.org/spreadsheetml/2006/main" count="1273" uniqueCount="324">
  <si>
    <t>Raw Data Quality Summary</t>
  </si>
  <si>
    <t>Count of COI</t>
  </si>
  <si>
    <t>Column Labels</t>
  </si>
  <si>
    <t>Row Labels</t>
  </si>
  <si>
    <t>BR</t>
  </si>
  <si>
    <t>CL</t>
  </si>
  <si>
    <t>CN</t>
  </si>
  <si>
    <t>CO</t>
  </si>
  <si>
    <t>ID</t>
  </si>
  <si>
    <t>JP</t>
  </si>
  <si>
    <t>KR</t>
  </si>
  <si>
    <t>MX</t>
  </si>
  <si>
    <t>TR</t>
  </si>
  <si>
    <t>TW</t>
  </si>
  <si>
    <t>VN</t>
  </si>
  <si>
    <t>Grand Total</t>
  </si>
  <si>
    <t>High Customs Value</t>
  </si>
  <si>
    <t>Wrong COO</t>
  </si>
  <si>
    <t>API Error</t>
  </si>
  <si>
    <t>Date</t>
  </si>
  <si>
    <t>Invoice Number</t>
  </si>
  <si>
    <t>Material Number</t>
  </si>
  <si>
    <t>COO</t>
  </si>
  <si>
    <t>COI</t>
  </si>
  <si>
    <t>HS Code</t>
  </si>
  <si>
    <t>Customs Value</t>
  </si>
  <si>
    <t>CV Currency</t>
  </si>
  <si>
    <t>Weight</t>
  </si>
  <si>
    <t>Duty Paid</t>
  </si>
  <si>
    <t>DP Currency</t>
  </si>
  <si>
    <t>Analyzed</t>
  </si>
  <si>
    <t>Duplicate Check</t>
  </si>
  <si>
    <t>Error</t>
  </si>
  <si>
    <t>3171A596</t>
  </si>
  <si>
    <t>USD</t>
  </si>
  <si>
    <t>ERROR</t>
  </si>
  <si>
    <t>6435A605</t>
  </si>
  <si>
    <t>9766A484</t>
  </si>
  <si>
    <t>367A563</t>
  </si>
  <si>
    <t>FR</t>
  </si>
  <si>
    <t>33079090</t>
  </si>
  <si>
    <t>3842A906</t>
  </si>
  <si>
    <t>GB</t>
  </si>
  <si>
    <t>30049069</t>
  </si>
  <si>
    <t>709A496</t>
  </si>
  <si>
    <t>DE</t>
  </si>
  <si>
    <t>3004909099</t>
  </si>
  <si>
    <t>1872A610</t>
  </si>
  <si>
    <t>2038A881</t>
  </si>
  <si>
    <t>6264A67</t>
  </si>
  <si>
    <t>7034A709</t>
  </si>
  <si>
    <t>9466A409</t>
  </si>
  <si>
    <t>479A96</t>
  </si>
  <si>
    <t>US</t>
  </si>
  <si>
    <t>2844420003</t>
  </si>
  <si>
    <t>8292A370</t>
  </si>
  <si>
    <t>3006600000</t>
  </si>
  <si>
    <t>7228A498</t>
  </si>
  <si>
    <t>FI</t>
  </si>
  <si>
    <t>3235A948</t>
  </si>
  <si>
    <t>3004909900</t>
  </si>
  <si>
    <t>6067A88</t>
  </si>
  <si>
    <t>3004909100</t>
  </si>
  <si>
    <t>577A610</t>
  </si>
  <si>
    <t>2167A460</t>
  </si>
  <si>
    <t>4383A195</t>
  </si>
  <si>
    <t>9347A273</t>
  </si>
  <si>
    <t>IN</t>
  </si>
  <si>
    <t>30049099</t>
  </si>
  <si>
    <t>719A917</t>
  </si>
  <si>
    <t>8712A410</t>
  </si>
  <si>
    <t>8395A909</t>
  </si>
  <si>
    <t>9322A268</t>
  </si>
  <si>
    <t>30063017</t>
  </si>
  <si>
    <t>4956A86</t>
  </si>
  <si>
    <t>AR</t>
  </si>
  <si>
    <t>21069030</t>
  </si>
  <si>
    <t>8147A132</t>
  </si>
  <si>
    <t>30049029</t>
  </si>
  <si>
    <t>5799A929</t>
  </si>
  <si>
    <t>90189010</t>
  </si>
  <si>
    <t>825A59</t>
  </si>
  <si>
    <t>85072010</t>
  </si>
  <si>
    <t>8714A285</t>
  </si>
  <si>
    <t>9248A981</t>
  </si>
  <si>
    <t>84198999</t>
  </si>
  <si>
    <t>4199A822</t>
  </si>
  <si>
    <t>85340051</t>
  </si>
  <si>
    <t>2706A548</t>
  </si>
  <si>
    <t>85340059</t>
  </si>
  <si>
    <t>4946A406</t>
  </si>
  <si>
    <t>28444200</t>
  </si>
  <si>
    <t>9610A176</t>
  </si>
  <si>
    <t>84834090</t>
  </si>
  <si>
    <t>1148A260</t>
  </si>
  <si>
    <t>435A21</t>
  </si>
  <si>
    <t>85011029</t>
  </si>
  <si>
    <t>6108A351</t>
  </si>
  <si>
    <t>85044029</t>
  </si>
  <si>
    <t>2229A121</t>
  </si>
  <si>
    <t>85340039</t>
  </si>
  <si>
    <t>8036A272</t>
  </si>
  <si>
    <t>9858A644</t>
  </si>
  <si>
    <t>5297A392</t>
  </si>
  <si>
    <t>7843A967</t>
  </si>
  <si>
    <t>85365090</t>
  </si>
  <si>
    <t>3761A301</t>
  </si>
  <si>
    <t>7725A169</t>
  </si>
  <si>
    <t>85480090</t>
  </si>
  <si>
    <t>5960A429</t>
  </si>
  <si>
    <t>4306A873</t>
  </si>
  <si>
    <t>85340019</t>
  </si>
  <si>
    <t>3514A554</t>
  </si>
  <si>
    <t>29372349</t>
  </si>
  <si>
    <t>3293A935</t>
  </si>
  <si>
    <t>76169900</t>
  </si>
  <si>
    <t>264A491</t>
  </si>
  <si>
    <t>7164A215</t>
  </si>
  <si>
    <t>6134A67</t>
  </si>
  <si>
    <t>1224A665</t>
  </si>
  <si>
    <t>39269090</t>
  </si>
  <si>
    <t>7441A599</t>
  </si>
  <si>
    <t>1407A170</t>
  </si>
  <si>
    <t>3002150090</t>
  </si>
  <si>
    <t>7888A390</t>
  </si>
  <si>
    <t>9996A331</t>
  </si>
  <si>
    <t>3004391900</t>
  </si>
  <si>
    <t>3234A742</t>
  </si>
  <si>
    <t>2091A285</t>
  </si>
  <si>
    <t>3006302000</t>
  </si>
  <si>
    <t>9851A939</t>
  </si>
  <si>
    <t>3004902900</t>
  </si>
  <si>
    <t>4066A96</t>
  </si>
  <si>
    <t>2918140100</t>
  </si>
  <si>
    <t>1365A982</t>
  </si>
  <si>
    <t>30066000</t>
  </si>
  <si>
    <t>1466A776</t>
  </si>
  <si>
    <t>2242A13</t>
  </si>
  <si>
    <t>NO</t>
  </si>
  <si>
    <t>28444300005</t>
  </si>
  <si>
    <t>8463A248</t>
  </si>
  <si>
    <t>3204A773</t>
  </si>
  <si>
    <t>9111A439</t>
  </si>
  <si>
    <t>9791A476</t>
  </si>
  <si>
    <t>2203A469</t>
  </si>
  <si>
    <t>7848A247</t>
  </si>
  <si>
    <t>704A81</t>
  </si>
  <si>
    <t>8058A738</t>
  </si>
  <si>
    <t>29362490</t>
  </si>
  <si>
    <t>1136A840</t>
  </si>
  <si>
    <t>1006A700</t>
  </si>
  <si>
    <t>8415A401</t>
  </si>
  <si>
    <t>6279A520</t>
  </si>
  <si>
    <t>1370A310</t>
  </si>
  <si>
    <t>3045A283</t>
  </si>
  <si>
    <t>9322A979</t>
  </si>
  <si>
    <t>6937A921</t>
  </si>
  <si>
    <t>9642A45</t>
  </si>
  <si>
    <t>90183119</t>
  </si>
  <si>
    <t>9467A447</t>
  </si>
  <si>
    <t>ES</t>
  </si>
  <si>
    <t>5377A658</t>
  </si>
  <si>
    <t>8060A647</t>
  </si>
  <si>
    <t>4746A651</t>
  </si>
  <si>
    <t>3021A764</t>
  </si>
  <si>
    <t>3004909999</t>
  </si>
  <si>
    <t>9856A530</t>
  </si>
  <si>
    <t>8322A865</t>
  </si>
  <si>
    <t>2717A864</t>
  </si>
  <si>
    <t>2048A279</t>
  </si>
  <si>
    <t>6551A475</t>
  </si>
  <si>
    <t>1488A214</t>
  </si>
  <si>
    <t>720A697</t>
  </si>
  <si>
    <t>32A952</t>
  </si>
  <si>
    <t>1704A78</t>
  </si>
  <si>
    <t>2968A644</t>
  </si>
  <si>
    <t>3053A305</t>
  </si>
  <si>
    <t>4847A944</t>
  </si>
  <si>
    <t>30045090</t>
  </si>
  <si>
    <t>1853A968</t>
  </si>
  <si>
    <t>1116A558</t>
  </si>
  <si>
    <t>9097A603</t>
  </si>
  <si>
    <t>5762A173</t>
  </si>
  <si>
    <t>7942A69</t>
  </si>
  <si>
    <t>30049039</t>
  </si>
  <si>
    <t>9888A314</t>
  </si>
  <si>
    <t>1849A539</t>
  </si>
  <si>
    <t>GT</t>
  </si>
  <si>
    <t>8330A113</t>
  </si>
  <si>
    <t>PE</t>
  </si>
  <si>
    <t>1037A8</t>
  </si>
  <si>
    <t>2760A670</t>
  </si>
  <si>
    <t>3006600004</t>
  </si>
  <si>
    <t>4732A734</t>
  </si>
  <si>
    <t>5644A401</t>
  </si>
  <si>
    <t>9890A389</t>
  </si>
  <si>
    <t>IT</t>
  </si>
  <si>
    <t>3777A839</t>
  </si>
  <si>
    <t>2419A903</t>
  </si>
  <si>
    <t>210690980019</t>
  </si>
  <si>
    <t>7058A486</t>
  </si>
  <si>
    <t>CA</t>
  </si>
  <si>
    <t>901839000023</t>
  </si>
  <si>
    <t>2645A233</t>
  </si>
  <si>
    <t>786A886</t>
  </si>
  <si>
    <t>21069099208</t>
  </si>
  <si>
    <t>3031A891</t>
  </si>
  <si>
    <t>30045021</t>
  </si>
  <si>
    <t>5077A979</t>
  </si>
  <si>
    <t>8038A503</t>
  </si>
  <si>
    <t>30049079</t>
  </si>
  <si>
    <t>5467A475</t>
  </si>
  <si>
    <t>34013000</t>
  </si>
  <si>
    <t>5935A184</t>
  </si>
  <si>
    <t>1933A557</t>
  </si>
  <si>
    <t>8033A482</t>
  </si>
  <si>
    <t>4982A408</t>
  </si>
  <si>
    <t>3001909000</t>
  </si>
  <si>
    <t>898A128</t>
  </si>
  <si>
    <t>1291A401</t>
  </si>
  <si>
    <t>7859A666</t>
  </si>
  <si>
    <t>3447A380</t>
  </si>
  <si>
    <t>4735A384</t>
  </si>
  <si>
    <t>4472A490</t>
  </si>
  <si>
    <t>2697A447</t>
  </si>
  <si>
    <t>7397A601</t>
  </si>
  <si>
    <t>4388A645</t>
  </si>
  <si>
    <t>9283A267</t>
  </si>
  <si>
    <t>6436A496</t>
  </si>
  <si>
    <t>8498A132</t>
  </si>
  <si>
    <t>8862A833</t>
  </si>
  <si>
    <t>7008A135</t>
  </si>
  <si>
    <t>8658A324</t>
  </si>
  <si>
    <t>850A590</t>
  </si>
  <si>
    <t>1101A907</t>
  </si>
  <si>
    <t>1928A297</t>
  </si>
  <si>
    <t>4172A373</t>
  </si>
  <si>
    <t>9274A36</t>
  </si>
  <si>
    <t>2065A771</t>
  </si>
  <si>
    <t>4939A248</t>
  </si>
  <si>
    <t>3004390001</t>
  </si>
  <si>
    <t>9304A391</t>
  </si>
  <si>
    <t>300490000011</t>
  </si>
  <si>
    <t>8507A656</t>
  </si>
  <si>
    <t>300439000000</t>
  </si>
  <si>
    <t>5013A252</t>
  </si>
  <si>
    <t>2021A365</t>
  </si>
  <si>
    <t>GR</t>
  </si>
  <si>
    <t>330499009000</t>
  </si>
  <si>
    <t>5125A758</t>
  </si>
  <si>
    <t>455A299</t>
  </si>
  <si>
    <t>300490000019</t>
  </si>
  <si>
    <t>9919A78</t>
  </si>
  <si>
    <t>340130000000</t>
  </si>
  <si>
    <t>7408A649</t>
  </si>
  <si>
    <t>491199009000</t>
  </si>
  <si>
    <t>4553A166</t>
  </si>
  <si>
    <t>7846A326</t>
  </si>
  <si>
    <t>3006600100</t>
  </si>
  <si>
    <t>3221A547</t>
  </si>
  <si>
    <t>4360A531</t>
  </si>
  <si>
    <t>3006300100</t>
  </si>
  <si>
    <t>2048A475</t>
  </si>
  <si>
    <t>7425A407</t>
  </si>
  <si>
    <t>369A228</t>
  </si>
  <si>
    <t>3004904800</t>
  </si>
  <si>
    <t>9557A850</t>
  </si>
  <si>
    <t>AT</t>
  </si>
  <si>
    <t>2553A238</t>
  </si>
  <si>
    <t>30043999</t>
  </si>
  <si>
    <t>6553A777</t>
  </si>
  <si>
    <t>5322A290</t>
  </si>
  <si>
    <t>8340A805</t>
  </si>
  <si>
    <t>8881A821</t>
  </si>
  <si>
    <t>3499A391</t>
  </si>
  <si>
    <t>5541A141</t>
  </si>
  <si>
    <t>1262A52</t>
  </si>
  <si>
    <t>7934A79</t>
  </si>
  <si>
    <t>1706A127</t>
  </si>
  <si>
    <t>6775A582</t>
  </si>
  <si>
    <t>9206A399</t>
  </si>
  <si>
    <t>9214A123</t>
  </si>
  <si>
    <t>CH</t>
  </si>
  <si>
    <t>3074A205</t>
  </si>
  <si>
    <t>5673A886</t>
  </si>
  <si>
    <t>6988A131</t>
  </si>
  <si>
    <t>3251A40</t>
  </si>
  <si>
    <t>1377A807</t>
  </si>
  <si>
    <t>6309A185</t>
  </si>
  <si>
    <t>2092A14</t>
  </si>
  <si>
    <t>2458A788</t>
  </si>
  <si>
    <t>2802A966</t>
  </si>
  <si>
    <t>2229A674</t>
  </si>
  <si>
    <t>1736A353</t>
  </si>
  <si>
    <t>6324A989</t>
  </si>
  <si>
    <t>88A359</t>
  </si>
  <si>
    <t>6111A940</t>
  </si>
  <si>
    <t>3444A651</t>
  </si>
  <si>
    <t>5659A927</t>
  </si>
  <si>
    <t>4364A525</t>
  </si>
  <si>
    <t>1340A630</t>
  </si>
  <si>
    <t>123A194</t>
  </si>
  <si>
    <t>4219A302</t>
  </si>
  <si>
    <t>6250A304</t>
  </si>
  <si>
    <t>NL</t>
  </si>
  <si>
    <t>6396A938</t>
  </si>
  <si>
    <t>4943A812</t>
  </si>
  <si>
    <t>1227A733</t>
  </si>
  <si>
    <t>50A462</t>
  </si>
  <si>
    <t>AU</t>
  </si>
  <si>
    <t>545A7823</t>
  </si>
  <si>
    <t>543A32784</t>
  </si>
  <si>
    <t>608A32465</t>
  </si>
  <si>
    <t>664A3674</t>
  </si>
  <si>
    <t>664A3679</t>
  </si>
  <si>
    <t>664A3680</t>
  </si>
  <si>
    <t>664A3681</t>
  </si>
  <si>
    <t>664A3682</t>
  </si>
  <si>
    <t>664A3683</t>
  </si>
  <si>
    <t>664A3684</t>
  </si>
  <si>
    <t>664A3685</t>
  </si>
  <si>
    <t>664A3686</t>
  </si>
  <si>
    <t>664A3687</t>
  </si>
  <si>
    <t>3004902400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</si>
</sst>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([$$-409]* #,##0.00_);_([$$-409]* \(#,##0.00\);_([$$-409]* &quot;-&quot;??_);_(@_)"/>
    <numFmt numFmtId="165" formatCode="###,000"/>
    <numFmt numFmtId="166" formatCode="m/d/yyyy"/>
    <numFmt numFmtId="167" formatCode="&quot;$&quot;#,##0.00"/>
  </numFmts>
  <fonts count="20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theme="1"/>
      <name val="Tahoma"/>
      <family val="2"/>
    </font>
    <font>
      <sz val="10"/>
      <name val="Arial"/>
      <family val="2"/>
    </font>
    <font>
      <b/>
      <sz val="8"/>
      <color rgb="FF1F497D"/>
      <name val="Verdana"/>
      <family val="2"/>
    </font>
    <font>
      <sz val="8"/>
      <color rgb="FF1F497D"/>
      <name val="Verdana"/>
      <family val="2"/>
    </font>
    <font>
      <sz val="8"/>
      <color rgb="FF000000"/>
      <name val="Verdana"/>
      <family val="2"/>
    </font>
    <font>
      <b/>
      <sz val="8"/>
      <color rgb="FF00CC00"/>
      <name val="Verdana"/>
      <family val="2"/>
    </font>
    <font>
      <b/>
      <sz val="8"/>
      <color rgb="FF33CC33"/>
      <name val="Verdana"/>
      <family val="2"/>
    </font>
    <font>
      <b/>
      <sz val="8"/>
      <color rgb="FFFF9900"/>
      <name val="Verdana"/>
      <family val="2"/>
    </font>
    <font>
      <b/>
      <sz val="8"/>
      <color rgb="FFFF0000"/>
      <name val="Verdana"/>
      <family val="2"/>
    </font>
    <font>
      <sz val="8"/>
      <color rgb="FF000000"/>
      <name val="Arial"/>
      <family val="2"/>
    </font>
    <font>
      <sz val="8"/>
      <color rgb="FFDBE5F1"/>
      <name val="Verdana"/>
      <family val="2"/>
    </font>
    <font>
      <i/>
      <sz val="8"/>
      <color rgb="FF000000"/>
      <name val="Verdana"/>
      <family val="2"/>
    </font>
    <font>
      <b/>
      <i/>
      <sz val="8"/>
      <color rgb="FF000000"/>
      <name val="Verdana"/>
      <family val="2"/>
    </font>
    <font>
      <b/>
      <i/>
      <sz val="8"/>
      <color rgb="FF1F497D"/>
      <name val="Verdana"/>
      <family val="2"/>
    </font>
    <font>
      <i/>
      <sz val="8"/>
      <color rgb="FF1F497D"/>
      <name val="Verdana"/>
      <family val="2"/>
    </font>
    <font>
      <b/>
      <sz val="20"/>
      <color theme="1"/>
      <name val="Aptos Narrow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BE5F1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F1F5FB"/>
        <bgColor rgb="FF000000"/>
      </patternFill>
    </fill>
    <fill>
      <patternFill patternType="solid">
        <fgColor rgb="FFE9EFF7"/>
        <bgColor rgb="FF000000"/>
      </patternFill>
    </fill>
    <fill>
      <patternFill patternType="solid">
        <fgColor rgb="FFC6F9C1"/>
        <bgColor rgb="FF000000"/>
      </patternFill>
    </fill>
    <fill>
      <patternFill patternType="solid">
        <fgColor rgb="FFABEDA5"/>
        <bgColor rgb="FF000000"/>
      </patternFill>
    </fill>
    <fill>
      <patternFill patternType="solid">
        <fgColor rgb="FF94D88F"/>
        <bgColor rgb="FF000000"/>
      </patternFill>
    </fill>
    <fill>
      <patternFill patternType="solid">
        <fgColor rgb="FFFFFDBF"/>
        <bgColor rgb="FF000000"/>
      </patternFill>
    </fill>
    <fill>
      <patternFill patternType="solid">
        <fgColor rgb="FFFFFB8C"/>
        <bgColor rgb="FF000000"/>
      </patternFill>
    </fill>
    <fill>
      <patternFill patternType="solid">
        <fgColor rgb="FFFFF843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988C"/>
        <bgColor rgb="FF000000"/>
      </patternFill>
    </fill>
    <fill>
      <patternFill patternType="solid">
        <fgColor rgb="FFFF6758"/>
        <bgColor rgb="FF000000"/>
      </patternFill>
    </fill>
    <fill>
      <patternFill patternType="solid">
        <fgColor rgb="FFB7CFE8"/>
        <bgColor rgb="FF000000"/>
      </patternFill>
    </fill>
    <fill>
      <patternFill patternType="solid">
        <fgColor rgb="FFC3D6EB"/>
        <bgColor rgb="FF000000"/>
      </patternFill>
    </fill>
    <fill>
      <patternFill patternType="solid">
        <fgColor rgb="FFDBE5F2"/>
        <bgColor rgb="FF000000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C0C0C0"/>
      </left>
      <right style="hair">
        <color rgb="FFC0C0C0"/>
      </right>
      <top style="thin">
        <color rgb="FF808080"/>
      </top>
      <bottom style="thin">
        <color rgb="FF80808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theme="0" tint="-0.1498764000366222"/>
      </top>
      <bottom style="medium">
        <color theme="0" tint="-0.149876400036622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48">
    <xf numFmtId="0" fontId="0" fillId="0" borderId="0"/>
    <xf numFmtId="0" fontId="2" fillId="0" borderId="0"/>
    <xf numFmtId="0" fontId="3" fillId="0" borderId="0"/>
    <xf numFmtId="44" fontId="2" fillId="0" borderId="0"/>
    <xf numFmtId="9" fontId="2" fillId="0" borderId="0"/>
    <xf numFmtId="44" fontId="2" fillId="0" borderId="0"/>
    <xf numFmtId="43" fontId="2" fillId="0" borderId="0"/>
    <xf numFmtId="0" fontId="5" fillId="0" borderId="0"/>
    <xf numFmtId="0" fontId="6" fillId="3" borderId="5">
      <alignment horizontal="left" vertical="center" indent="1"/>
    </xf>
    <xf numFmtId="165" fontId="6" fillId="0" borderId="7">
      <alignment horizontal="right" vertical="center"/>
    </xf>
    <xf numFmtId="165" fontId="7" fillId="0" borderId="6">
      <alignment horizontal="right" vertical="center"/>
    </xf>
    <xf numFmtId="165" fontId="7" fillId="4" borderId="5">
      <alignment horizontal="left" vertical="center" indent="1"/>
    </xf>
    <xf numFmtId="0" fontId="8" fillId="6" borderId="7">
      <alignment horizontal="left" vertical="center" indent="1"/>
    </xf>
    <xf numFmtId="0" fontId="8" fillId="5" borderId="7">
      <alignment horizontal="left" vertical="center" indent="1"/>
      <protection locked="0"/>
    </xf>
    <xf numFmtId="165" fontId="7" fillId="7" borderId="6">
      <alignment horizontal="right" vertical="center"/>
      <protection locked="0"/>
    </xf>
    <xf numFmtId="0" fontId="8" fillId="5" borderId="7">
      <alignment horizontal="left" vertical="center" indent="1"/>
      <protection locked="0"/>
    </xf>
    <xf numFmtId="165" fontId="6" fillId="6" borderId="7">
      <alignment horizontal="right" vertical="center"/>
    </xf>
    <xf numFmtId="165" fontId="6" fillId="7" borderId="7">
      <alignment horizontal="right" vertical="center"/>
      <protection locked="0"/>
    </xf>
    <xf numFmtId="165" fontId="9" fillId="8" borderId="8">
      <alignment horizontal="right" vertical="center" indent="1"/>
    </xf>
    <xf numFmtId="165" fontId="10" fillId="9" borderId="8">
      <alignment horizontal="right" vertical="center" indent="1"/>
    </xf>
    <xf numFmtId="165" fontId="10" fillId="10" borderId="8">
      <alignment horizontal="right" vertical="center" indent="1"/>
    </xf>
    <xf numFmtId="165" fontId="11" fillId="11" borderId="8">
      <alignment horizontal="right" vertical="center" indent="1"/>
    </xf>
    <xf numFmtId="165" fontId="11" fillId="12" borderId="8">
      <alignment horizontal="right" vertical="center" indent="1"/>
    </xf>
    <xf numFmtId="165" fontId="11" fillId="13" borderId="8">
      <alignment horizontal="right" vertical="center" indent="1"/>
    </xf>
    <xf numFmtId="165" fontId="12" fillId="14" borderId="8">
      <alignment horizontal="right" vertical="center" indent="1"/>
    </xf>
    <xf numFmtId="165" fontId="12" fillId="15" borderId="8">
      <alignment horizontal="right" vertical="center" indent="1"/>
    </xf>
    <xf numFmtId="165" fontId="12" fillId="16" borderId="8">
      <alignment horizontal="right" vertical="center" indent="1"/>
    </xf>
    <xf numFmtId="0" fontId="13" fillId="0" borderId="5"/>
    <xf numFmtId="165" fontId="14" fillId="4" borderId="0">
      <alignment horizontal="left" vertical="center" indent="1"/>
    </xf>
    <xf numFmtId="0" fontId="13" fillId="0" borderId="9"/>
    <xf numFmtId="165" fontId="7" fillId="0" borderId="6">
      <alignment horizontal="right" vertical="center"/>
    </xf>
    <xf numFmtId="165" fontId="7" fillId="4" borderId="5">
      <alignment horizontal="left" vertical="center" indent="1"/>
    </xf>
    <xf numFmtId="0" fontId="6" fillId="3" borderId="7">
      <alignment horizontal="left" vertical="center" indent="1"/>
    </xf>
    <xf numFmtId="0" fontId="8" fillId="17" borderId="5">
      <alignment horizontal="left" vertical="center" indent="1"/>
    </xf>
    <xf numFmtId="0" fontId="8" fillId="18" borderId="5">
      <alignment horizontal="left" vertical="center" indent="1"/>
    </xf>
    <xf numFmtId="0" fontId="8" fillId="19" borderId="5">
      <alignment horizontal="left" vertical="center" indent="1"/>
    </xf>
    <xf numFmtId="0" fontId="8" fillId="7" borderId="5">
      <alignment horizontal="left" vertical="center" indent="1"/>
    </xf>
    <xf numFmtId="0" fontId="8" fillId="6" borderId="7">
      <alignment horizontal="left" vertical="center" indent="1"/>
    </xf>
    <xf numFmtId="0" fontId="16" fillId="0" borderId="10"/>
    <xf numFmtId="0" fontId="15" fillId="0" borderId="10"/>
    <xf numFmtId="0" fontId="15" fillId="5" borderId="7">
      <alignment horizontal="left" vertical="center" indent="1"/>
      <protection locked="0"/>
    </xf>
    <xf numFmtId="0" fontId="15" fillId="5" borderId="7">
      <alignment horizontal="left" vertical="center" indent="1"/>
      <protection locked="0"/>
    </xf>
    <xf numFmtId="0" fontId="15" fillId="6" borderId="7">
      <alignment horizontal="left" vertical="center" indent="1"/>
    </xf>
    <xf numFmtId="165" fontId="17" fillId="6" borderId="7">
      <alignment horizontal="right" vertical="center"/>
    </xf>
    <xf numFmtId="165" fontId="18" fillId="7" borderId="6">
      <alignment horizontal="right" vertical="center"/>
      <protection locked="0"/>
    </xf>
    <xf numFmtId="165" fontId="17" fillId="7" borderId="7">
      <alignment horizontal="right" vertical="center"/>
      <protection locked="0"/>
    </xf>
    <xf numFmtId="165" fontId="7" fillId="0" borderId="6">
      <alignment horizontal="right" vertical="center"/>
    </xf>
    <xf numFmtId="0" fontId="2" fillId="0" borderId="11">
      <alignment horizontal="left" vertical="center" indent="2"/>
    </xf>
  </cellStyleXfs>
  <cellXfs count="36">
    <xf numFmtId="0" fontId="0" fillId="0" borderId="0" xfId="0"/>
    <xf numFmtId="0" fontId="0" fillId="0" borderId="2" xfId="0" applyBorder="1"/>
    <xf numFmtId="2" fontId="0" fillId="0" borderId="0" xfId="0" applyNumberFormat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3" xfId="0" applyBorder="1"/>
    <xf numFmtId="2" fontId="1" fillId="2" borderId="4" xfId="0" applyNumberFormat="1" applyFont="1" applyFill="1" applyBorder="1"/>
    <xf numFmtId="2" fontId="2" fillId="0" borderId="0" xfId="1" applyNumberFormat="1" applyAlignment="1">
      <alignment horizontal="left"/>
    </xf>
    <xf numFmtId="14" fontId="3" fillId="0" borderId="1" xfId="2" applyNumberFormat="1" applyBorder="1"/>
    <xf numFmtId="0" fontId="4" fillId="0" borderId="1" xfId="2" applyFont="1" applyBorder="1" applyAlignment="1">
      <alignment horizontal="left" vertical="center"/>
    </xf>
    <xf numFmtId="0" fontId="2" fillId="0" borderId="1" xfId="1" applyBorder="1" applyAlignment="1">
      <alignment horizontal="left"/>
    </xf>
    <xf numFmtId="0" fontId="0" fillId="0" borderId="1" xfId="1" applyFont="1" applyBorder="1" applyAlignment="1">
      <alignment horizontal="left"/>
    </xf>
    <xf numFmtId="14" fontId="1" fillId="2" borderId="3" xfId="0" applyNumberFormat="1" applyFont="1" applyFill="1" applyBorder="1"/>
    <xf numFmtId="14" fontId="0" fillId="0" borderId="0" xfId="0" applyNumberFormat="1"/>
    <xf numFmtId="0" fontId="2" fillId="0" borderId="4" xfId="1" applyBorder="1" applyAlignment="1">
      <alignment horizontal="left"/>
    </xf>
    <xf numFmtId="14" fontId="3" fillId="0" borderId="4" xfId="2" applyNumberFormat="1" applyBorder="1"/>
    <xf numFmtId="0" fontId="0" fillId="0" borderId="4" xfId="1" applyFont="1" applyBorder="1" applyAlignment="1">
      <alignment horizontal="left"/>
    </xf>
    <xf numFmtId="0" fontId="3" fillId="0" borderId="1" xfId="2" applyBorder="1" applyAlignment="1">
      <alignment horizontal="right"/>
    </xf>
    <xf numFmtId="0" fontId="3" fillId="0" borderId="4" xfId="2" applyBorder="1" applyAlignment="1">
      <alignment horizontal="right"/>
    </xf>
    <xf numFmtId="164" fontId="2" fillId="0" borderId="0" xfId="1" applyNumberFormat="1" applyAlignment="1">
      <alignment horizontal="left"/>
    </xf>
    <xf numFmtId="164" fontId="2" fillId="0" borderId="0" xfId="3" applyNumberFormat="1"/>
    <xf numFmtId="43" fontId="0" fillId="0" borderId="0" xfId="0" applyNumberFormat="1"/>
    <xf numFmtId="0" fontId="4" fillId="20" borderId="1" xfId="2" applyFont="1" applyFill="1" applyBorder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0" fontId="19" fillId="0" borderId="0" xfId="0" applyFont="1"/>
    <xf numFmtId="0" fontId="4" fillId="0" borderId="1" xfId="2" applyFont="1" applyBorder="1" applyAlignment="1">
      <alignment vertical="center"/>
    </xf>
    <xf numFmtId="0" fontId="4" fillId="0" borderId="4" xfId="2" applyFont="1" applyBorder="1" applyAlignment="1">
      <alignment vertical="center"/>
    </xf>
    <xf numFmtId="0" fontId="2" fillId="0" borderId="1" xfId="1" applyBorder="1"/>
    <xf numFmtId="10" fontId="0" fillId="0" borderId="0" xfId="0" applyNumberFormat="1"/>
    <xf numFmtId="166" fontId="3" fillId="0" borderId="1" xfId="2" applyNumberFormat="1" applyBorder="1"/>
    <xf numFmtId="0" fontId="2" fillId="0" borderId="12" xfId="1" applyBorder="1" applyAlignment="1">
      <alignment horizontal="left"/>
    </xf>
    <xf numFmtId="166" fontId="3" fillId="0" borderId="4" xfId="2" applyNumberFormat="1" applyBorder="1"/>
    <xf numFmtId="0" fontId="2" fillId="0" borderId="13" xfId="1" applyBorder="1" applyAlignment="1">
      <alignment horizontal="left"/>
    </xf>
    <xf numFmtId="49" fontId="0" fillId="0" borderId="0" xfId="0" applyNumberFormat="1" applyAlignment="1">
      <alignment horizontal="left"/>
    </xf>
    <xf numFmtId="167" fontId="0" fillId="0" borderId="0" xfId="0" applyNumberFormat="1" applyAlignment="1">
      <alignment horizontal="left"/>
    </xf>
  </cellXfs>
  <cellStyles count="48">
    <cellStyle name="Comma 2" xfId="6" xr:uid="{00000000-0005-0000-0000-000006000000}"/>
    <cellStyle name="Currency" xfId="3" builtinId="4"/>
    <cellStyle name="Currency 2" xfId="5" xr:uid="{00000000-0005-0000-0000-000005000000}"/>
    <cellStyle name="Normal" xfId="0" builtinId="0"/>
    <cellStyle name="Normal 2" xfId="1" xr:uid="{00000000-0005-0000-0000-000001000000}"/>
    <cellStyle name="Normal 2 2" xfId="7" xr:uid="{00000000-0005-0000-0000-000007000000}"/>
    <cellStyle name="Normal 3" xfId="2" xr:uid="{00000000-0005-0000-0000-000002000000}"/>
    <cellStyle name="Percent 2" xfId="4" xr:uid="{00000000-0005-0000-0000-000004000000}"/>
    <cellStyle name="SAPBorder" xfId="27" xr:uid="{00000000-0005-0000-0000-00001B000000}"/>
    <cellStyle name="SAPDataCell" xfId="10" xr:uid="{00000000-0005-0000-0000-00000A000000}"/>
    <cellStyle name="SAPDataRemoved" xfId="28" xr:uid="{00000000-0005-0000-0000-00001C000000}"/>
    <cellStyle name="SAPDataTotalCell" xfId="9" xr:uid="{00000000-0005-0000-0000-000009000000}"/>
    <cellStyle name="SAPDimensionCell" xfId="8" xr:uid="{00000000-0005-0000-0000-000008000000}"/>
    <cellStyle name="SAPEditableDataCell" xfId="13" xr:uid="{00000000-0005-0000-0000-00000D000000}"/>
    <cellStyle name="SAPEditableDataTotalCell" xfId="15" xr:uid="{00000000-0005-0000-0000-00000F000000}"/>
    <cellStyle name="SAPEmphasized" xfId="39" xr:uid="{00000000-0005-0000-0000-000027000000}"/>
    <cellStyle name="SAPEmphasizedEditableDataCell" xfId="41" xr:uid="{00000000-0005-0000-0000-000029000000}"/>
    <cellStyle name="SAPEmphasizedEditableDataTotalCell" xfId="40" xr:uid="{00000000-0005-0000-0000-000028000000}"/>
    <cellStyle name="SAPEmphasizedLockedDataCell" xfId="44" xr:uid="{00000000-0005-0000-0000-00002C000000}"/>
    <cellStyle name="SAPEmphasizedLockedDataTotalCell" xfId="45" xr:uid="{00000000-0005-0000-0000-00002D000000}"/>
    <cellStyle name="SAPEmphasizedReadonlyDataCell" xfId="42" xr:uid="{00000000-0005-0000-0000-00002A000000}"/>
    <cellStyle name="SAPEmphasizedReadonlyDataTotalCell" xfId="43" xr:uid="{00000000-0005-0000-0000-00002B000000}"/>
    <cellStyle name="SAPEmphasizedTotal" xfId="38" xr:uid="{00000000-0005-0000-0000-000026000000}"/>
    <cellStyle name="SAPError" xfId="29" xr:uid="{00000000-0005-0000-0000-00001D000000}"/>
    <cellStyle name="SAPExceptionLevel1" xfId="18" xr:uid="{00000000-0005-0000-0000-000012000000}"/>
    <cellStyle name="SAPExceptionLevel2" xfId="19" xr:uid="{00000000-0005-0000-0000-000013000000}"/>
    <cellStyle name="SAPExceptionLevel3" xfId="20" xr:uid="{00000000-0005-0000-0000-000014000000}"/>
    <cellStyle name="SAPExceptionLevel4" xfId="21" xr:uid="{00000000-0005-0000-0000-000015000000}"/>
    <cellStyle name="SAPExceptionLevel5" xfId="22" xr:uid="{00000000-0005-0000-0000-000016000000}"/>
    <cellStyle name="SAPExceptionLevel6" xfId="23" xr:uid="{00000000-0005-0000-0000-000017000000}"/>
    <cellStyle name="SAPExceptionLevel7" xfId="24" xr:uid="{00000000-0005-0000-0000-000018000000}"/>
    <cellStyle name="SAPExceptionLevel8" xfId="25" xr:uid="{00000000-0005-0000-0000-000019000000}"/>
    <cellStyle name="SAPExceptionLevel9" xfId="26" xr:uid="{00000000-0005-0000-0000-00001A000000}"/>
    <cellStyle name="SAPFormula" xfId="46" xr:uid="{00000000-0005-0000-0000-00002E000000}"/>
    <cellStyle name="SAPGroupingFillCell" xfId="11" xr:uid="{00000000-0005-0000-0000-00000B000000}"/>
    <cellStyle name="SAPHierarchyCell0" xfId="33" xr:uid="{00000000-0005-0000-0000-000021000000}"/>
    <cellStyle name="SAPHierarchyCell1" xfId="34" xr:uid="{00000000-0005-0000-0000-000022000000}"/>
    <cellStyle name="SAPHierarchyCell2" xfId="35" xr:uid="{00000000-0005-0000-0000-000023000000}"/>
    <cellStyle name="SAPHierarchyCell3" xfId="36" xr:uid="{00000000-0005-0000-0000-000024000000}"/>
    <cellStyle name="SAPHierarchyCell4" xfId="37" xr:uid="{00000000-0005-0000-0000-000025000000}"/>
    <cellStyle name="SAPLockedDataCell" xfId="14" xr:uid="{00000000-0005-0000-0000-00000E000000}"/>
    <cellStyle name="SAPLockedDataTotalCell" xfId="17" xr:uid="{00000000-0005-0000-0000-000011000000}"/>
    <cellStyle name="SAPMemberCell" xfId="31" xr:uid="{00000000-0005-0000-0000-00001F000000}"/>
    <cellStyle name="SAPMemberTotalCell" xfId="32" xr:uid="{00000000-0005-0000-0000-000020000000}"/>
    <cellStyle name="SAPMessageText" xfId="30" xr:uid="{00000000-0005-0000-0000-00001E000000}"/>
    <cellStyle name="SAPReadonlyDataCell" xfId="12" xr:uid="{00000000-0005-0000-0000-00000C000000}"/>
    <cellStyle name="SAPReadonlyDataTotalCell" xfId="16" xr:uid="{00000000-0005-0000-0000-000010000000}"/>
    <cellStyle name="Task" xfId="47" xr:uid="{00000000-0005-0000-0000-00002F000000}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2" formatCode="0.00"/>
      <alignment horizontal="left" vertical="bottom"/>
    </dxf>
    <dxf>
      <numFmt numFmtId="2" formatCode="0.00"/>
    </dxf>
    <dxf>
      <numFmt numFmtId="164" formatCode="_([$$-409]* #,##0.00_);_([$$-409]* \(#,##0.00\);_([$$-409]* &quot;-&quot;??_);_(@_)"/>
      <alignment horizontal="left" vertical="bottom"/>
    </dxf>
    <dxf>
      <alignment horizontal="left" vertical="bottom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alignment horizontal="left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z val="10"/>
        <color theme="1"/>
        <name val="Tahoma"/>
        <family val="2"/>
      </font>
      <numFmt numFmtId="0" formatCode="General"/>
      <alignment horizontal="general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alignment horizontal="right" vertical="bottom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6" formatCode="m/d/yyyy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</a:t>
            </a:r>
            <a:r>
              <a:rPr lang="en-US" baseline="0"/>
              <a:t> Distribution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3A7-471B-B31F-538AB985AB5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3A7-471B-B31F-538AB985AB5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3A7-471B-B31F-538AB985AB5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3A7-471B-B31F-538AB985AB5A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Off val="75000"/>
                    <a:lumMod val="25000"/>
                  </a:sysClr>
                </a:solidFill>
                <a:prstDash val="solid"/>
              </a:ln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Summary!$C$38:$C$41</c:f>
              <c:strCache>
                <c:ptCount val="4"/>
                <c:pt idx="1">
                  <c:v>API Error</c:v>
                </c:pt>
                <c:pt idx="2">
                  <c:v>High Customs Value</c:v>
                </c:pt>
                <c:pt idx="3">
                  <c:v>Wrong COO</c:v>
                </c:pt>
              </c:strCache>
            </c:strRef>
          </c:cat>
          <c:val>
            <c:numRef>
              <c:f>Summary!$D$38:$D$41</c:f>
              <c:numCache>
                <c:formatCode>0.00%</c:formatCode>
                <c:ptCount val="4"/>
                <c:pt idx="0">
                  <c:v>0.7839195979899497</c:v>
                </c:pt>
                <c:pt idx="1">
                  <c:v>2.0100502512562811E-2</c:v>
                </c:pt>
                <c:pt idx="2">
                  <c:v>0.1407035175879397</c:v>
                </c:pt>
                <c:pt idx="3">
                  <c:v>5.5276381909547742E-2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3A7-471B-B31F-538AB985AB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 rtl="0"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%Errors per COI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Summary!$D$6:$N$6</c:f>
              <c:strCache>
                <c:ptCount val="11"/>
                <c:pt idx="0">
                  <c:v>BR</c:v>
                </c:pt>
                <c:pt idx="1">
                  <c:v>CL</c:v>
                </c:pt>
                <c:pt idx="2">
                  <c:v>CN</c:v>
                </c:pt>
                <c:pt idx="3">
                  <c:v>CO</c:v>
                </c:pt>
                <c:pt idx="4">
                  <c:v>ID</c:v>
                </c:pt>
                <c:pt idx="5">
                  <c:v>JP</c:v>
                </c:pt>
                <c:pt idx="6">
                  <c:v>KR</c:v>
                </c:pt>
                <c:pt idx="7">
                  <c:v>MX</c:v>
                </c:pt>
                <c:pt idx="8">
                  <c:v>TR</c:v>
                </c:pt>
                <c:pt idx="9">
                  <c:v>TW</c:v>
                </c:pt>
                <c:pt idx="10">
                  <c:v>VN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Summary!$D$6:$N$6</c:f>
              <c:strCache>
                <c:ptCount val="11"/>
                <c:pt idx="0">
                  <c:v>BR</c:v>
                </c:pt>
                <c:pt idx="1">
                  <c:v>CL</c:v>
                </c:pt>
                <c:pt idx="2">
                  <c:v>CN</c:v>
                </c:pt>
                <c:pt idx="3">
                  <c:v>CO</c:v>
                </c:pt>
                <c:pt idx="4">
                  <c:v>ID</c:v>
                </c:pt>
                <c:pt idx="5">
                  <c:v>JP</c:v>
                </c:pt>
                <c:pt idx="6">
                  <c:v>KR</c:v>
                </c:pt>
                <c:pt idx="7">
                  <c:v>MX</c:v>
                </c:pt>
                <c:pt idx="8">
                  <c:v>TR</c:v>
                </c:pt>
                <c:pt idx="9">
                  <c:v>TW</c:v>
                </c:pt>
                <c:pt idx="10">
                  <c:v>VN</c:v>
                </c:pt>
              </c:strCache>
            </c:strRef>
          </c:cat>
          <c:val>
            <c:numRef>
              <c:f>Summary!$D$11:$N$11</c:f>
              <c:numCache>
                <c:formatCode>0.00%</c:formatCode>
                <c:ptCount val="11"/>
                <c:pt idx="0">
                  <c:v>0.30150753768844218</c:v>
                </c:pt>
                <c:pt idx="1">
                  <c:v>1.0050251256281411E-2</c:v>
                </c:pt>
                <c:pt idx="2">
                  <c:v>4.0201005025125629E-2</c:v>
                </c:pt>
                <c:pt idx="3">
                  <c:v>0.14572864321608039</c:v>
                </c:pt>
                <c:pt idx="4">
                  <c:v>1.507537688442211E-2</c:v>
                </c:pt>
                <c:pt idx="5">
                  <c:v>2.5125628140703519E-2</c:v>
                </c:pt>
                <c:pt idx="6">
                  <c:v>5.0251256281407038E-2</c:v>
                </c:pt>
                <c:pt idx="7">
                  <c:v>0.23618090452261309</c:v>
                </c:pt>
                <c:pt idx="8">
                  <c:v>6.030150753768844E-2</c:v>
                </c:pt>
                <c:pt idx="9">
                  <c:v>0.1105527638190955</c:v>
                </c:pt>
                <c:pt idx="10">
                  <c:v>5.0251256281407036E-3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FA-4502-BFCD-9D92FD190B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59896239"/>
        <c:axId val="1259899119"/>
      </c:barChart>
      <c:catAx>
        <c:axId val="125989623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COI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59899119"/>
        <c:crosses val="autoZero"/>
        <c:auto val="1"/>
        <c:lblAlgn val="ctr"/>
        <c:lblOffset val="100"/>
        <c:noMultiLvlLbl val="0"/>
      </c:catAx>
      <c:valAx>
        <c:axId val="1259899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% Errors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5989623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52972</xdr:colOff>
      <xdr:row>14</xdr:row>
      <xdr:rowOff>95740</xdr:rowOff>
    </xdr:from>
    <xdr:to>
      <xdr:col>15</xdr:col>
      <xdr:colOff>292428</xdr:colOff>
      <xdr:row>34</xdr:row>
      <xdr:rowOff>54814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163871</xdr:colOff>
      <xdr:row>14</xdr:row>
      <xdr:rowOff>88122</xdr:rowOff>
    </xdr:from>
    <xdr:to>
      <xdr:col>23</xdr:col>
      <xdr:colOff>93939</xdr:colOff>
      <xdr:row>28</xdr:row>
      <xdr:rowOff>161495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iña, Oriol" refreshedDate="45939.525101041669" createdVersion="8" refreshedVersion="8" minRefreshableVersion="3" recordCount="199" xr:uid="{00000000-000A-0000-FFFF-FFFF01000000}">
  <cacheSource type="worksheet">
    <worksheetSource name="Transactions"/>
  </cacheSource>
  <cacheFields count="15">
    <cacheField name="Date" numFmtId="14">
      <sharedItems containsSemiMixedTypes="0" containsNonDate="0" containsDate="1" containsString="0" minDate="2024-12-30T00:00:00" maxDate="2025-08-28T12:18:00"/>
    </cacheField>
    <cacheField name="Invoice Number" numFmtId="0">
      <sharedItems/>
    </cacheField>
    <cacheField name="Material Number" numFmtId="0">
      <sharedItems containsSemiMixedTypes="0" containsString="0" containsNumber="1" containsInteger="1" minValue="46075" maxValue="9976629"/>
    </cacheField>
    <cacheField name="COO" numFmtId="0">
      <sharedItems containsBlank="1"/>
    </cacheField>
    <cacheField name="COI" numFmtId="0">
      <sharedItems count="29">
        <s v="ID"/>
        <s v="MX"/>
        <s v="TW"/>
        <s v="BR"/>
        <s v="CN"/>
        <s v="JP"/>
        <s v="KR"/>
        <s v="CO"/>
        <s v="CL"/>
        <s v="TR"/>
        <s v="VN"/>
        <s v="CA" u="1"/>
        <s v="TH" u="1"/>
        <s v="DE" u="1"/>
        <s v="EC" u="1"/>
        <s v="PE" u="1"/>
        <s v="PH" u="1"/>
        <s v="AR" u="1"/>
        <s v="GB" u="1"/>
        <s v="AU" u="1"/>
        <s v="NL" u="1"/>
        <s v="IT" u="1"/>
        <s v="BE" u="1"/>
        <s v="CH" u="1"/>
        <s v="US" u="1"/>
        <s v="MA" u="1"/>
        <s v="IT " u="1"/>
        <s v="BE " u="1"/>
        <s v="NL " u="1"/>
      </sharedItems>
    </cacheField>
    <cacheField name="HS Code" numFmtId="0">
      <sharedItems containsMixedTypes="1" containsNumber="1" containsInteger="1" minValue="30049099" maxValue="9018909999"/>
    </cacheField>
    <cacheField name="Customs Value" numFmtId="165">
      <sharedItems containsSemiMixedTypes="0" containsString="0" containsNumber="1" minValue="6.44" maxValue="647753293"/>
    </cacheField>
    <cacheField name="CV Currency" numFmtId="0">
      <sharedItems/>
    </cacheField>
    <cacheField name="Weight" numFmtId="2">
      <sharedItems containsString="0" containsBlank="1" containsNumber="1" minValue="0" maxValue="5560"/>
    </cacheField>
    <cacheField name="Duty Paid" numFmtId="0">
      <sharedItems containsSemiMixedTypes="0" containsString="0" containsNumber="1" minValue="0" maxValue="130663.83130000001"/>
    </cacheField>
    <cacheField name="DP Currency" numFmtId="0">
      <sharedItems/>
    </cacheField>
    <cacheField name="Analyzed" numFmtId="0">
      <sharedItems/>
    </cacheField>
    <cacheField name="Duplicate Check" numFmtId="0">
      <sharedItems/>
    </cacheField>
    <cacheField name="Error" numFmtId="0">
      <sharedItems count="12">
        <s v="API Error"/>
        <s v="High Customs Value"/>
        <s v=""/>
        <s v="Wrong COO"/>
        <s v="Wrong HS Code" u="1"/>
        <s v="COI=COO" u="1"/>
        <s v="Wrong Date" u="1"/>
        <s v="No Customs Value" u="1"/>
        <s v="&gt;100% Duty Rate" u="1"/>
        <s v="Wrong COI" u="1"/>
        <s v="Wrong CV Currency" u="1"/>
        <e v="#N/A" u="1"/>
      </sharedItems>
    </cacheField>
    <cacheField name="ID" numFmtId="0">
      <sharedItems containsSemiMixedTypes="0" containsString="0" containsNumber="1" containsInteger="1" minValue="2" maxValue="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199">
  <r>
    <d v="2024-12-30T00:00:00"/>
    <s v="3171A596"/>
    <n v="2338650"/>
    <s v="CN"/>
    <x v="0"/>
    <n v="39239090"/>
    <n v="16006.01"/>
    <s v="USD"/>
    <m/>
    <n v="0.1477525292861744"/>
    <s v="USD"/>
    <s v="ERROR"/>
    <b v="0"/>
    <x v="0"/>
    <n v="2"/>
  </r>
  <r>
    <d v="2024-12-30T00:00:00"/>
    <s v="6435A605"/>
    <n v="1686506"/>
    <s v="CN"/>
    <x v="0"/>
    <n v="39239090"/>
    <n v="14235.35"/>
    <s v="USD"/>
    <m/>
    <n v="0.1314074808224108"/>
    <s v="USD"/>
    <s v="ERROR"/>
    <b v="0"/>
    <x v="0"/>
    <n v="3"/>
  </r>
  <r>
    <d v="2024-12-30T00:00:00"/>
    <s v="9766A484"/>
    <n v="3828949"/>
    <s v="CN"/>
    <x v="0"/>
    <n v="39239090"/>
    <n v="4496.67"/>
    <s v="USD"/>
    <m/>
    <n v="0.0415090253862116"/>
    <s v="USD"/>
    <s v="ERROR"/>
    <b v="0"/>
    <x v="0"/>
    <n v="4"/>
  </r>
  <r>
    <d v="2025-05-20T12:51:00"/>
    <s v="5673A886"/>
    <n v="6299461"/>
    <s v="DE"/>
    <x v="1"/>
    <n v="2918140100"/>
    <n v="106534800"/>
    <s v="USD"/>
    <m/>
    <n v="0"/>
    <s v="USD"/>
    <b v="1"/>
    <b v="0"/>
    <x v="1"/>
    <n v="5"/>
  </r>
  <r>
    <d v="2025-05-20T12:54:00"/>
    <s v="6988A131"/>
    <n v="3432856"/>
    <s v="DE"/>
    <x v="1"/>
    <n v="2918140100"/>
    <n v="106534800"/>
    <s v="USD"/>
    <m/>
    <n v="0"/>
    <s v="USD"/>
    <b v="1"/>
    <b v="0"/>
    <x v="1"/>
    <n v="6"/>
  </r>
  <r>
    <d v="2025-05-20T12:47:00"/>
    <s v="3074A205"/>
    <n v="7041021"/>
    <s v="DE"/>
    <x v="1"/>
    <n v="2918140100"/>
    <n v="106534800"/>
    <s v="USD"/>
    <m/>
    <n v="0"/>
    <s v="USD"/>
    <b v="1"/>
    <b v="0"/>
    <x v="1"/>
    <n v="7"/>
  </r>
  <r>
    <d v="2025-05-20T16:01:00"/>
    <s v="1377A807"/>
    <n v="7140622"/>
    <s v="DE"/>
    <x v="1"/>
    <n v="2918140100"/>
    <n v="106534800"/>
    <s v="USD"/>
    <m/>
    <n v="0"/>
    <s v="USD"/>
    <b v="1"/>
    <b v="0"/>
    <x v="1"/>
    <n v="8"/>
  </r>
  <r>
    <d v="2025-05-20T15:56:00"/>
    <s v="3251A40"/>
    <n v="5018337"/>
    <s v="DE"/>
    <x v="1"/>
    <n v="2918140100"/>
    <n v="106534800"/>
    <s v="USD"/>
    <m/>
    <n v="0"/>
    <s v="USD"/>
    <b v="1"/>
    <b v="0"/>
    <x v="1"/>
    <n v="9"/>
  </r>
  <r>
    <d v="2025-01-01T00:00:00"/>
    <s v="367A563"/>
    <n v="1183368"/>
    <s v="FR"/>
    <x v="2"/>
    <s v="33079090"/>
    <n v="39984.24144"/>
    <s v="USD"/>
    <n v="1"/>
    <n v="7996.848288"/>
    <s v="USD"/>
    <b v="1"/>
    <b v="0"/>
    <x v="2"/>
    <n v="10"/>
  </r>
  <r>
    <d v="2025-01-02T00:00:00"/>
    <s v="3842A906"/>
    <n v="6201172"/>
    <s v="GB"/>
    <x v="3"/>
    <s v="30049069"/>
    <n v="43941.3534"/>
    <s v="USD"/>
    <n v="1"/>
    <n v="3163.7772"/>
    <s v="USD"/>
    <b v="1"/>
    <b v="0"/>
    <x v="2"/>
    <n v="11"/>
  </r>
  <r>
    <d v="2025-01-02T00:00:00"/>
    <s v="709A496"/>
    <n v="3797559"/>
    <s v="DE"/>
    <x v="4"/>
    <s v="3004909099"/>
    <n v="1571503.266035911"/>
    <s v="USD"/>
    <n v="1"/>
    <n v="0"/>
    <s v="USD"/>
    <b v="1"/>
    <b v="0"/>
    <x v="2"/>
    <n v="12"/>
  </r>
  <r>
    <d v="2025-01-02T00:00:00"/>
    <s v="1872A610"/>
    <n v="1116224"/>
    <s v="DE"/>
    <x v="4"/>
    <s v="3004909099"/>
    <n v="1551758.261767956"/>
    <s v="USD"/>
    <n v="1"/>
    <n v="0"/>
    <s v="USD"/>
    <b v="1"/>
    <b v="0"/>
    <x v="2"/>
    <n v="13"/>
  </r>
  <r>
    <d v="2025-01-02T00:00:00"/>
    <s v="2038A881"/>
    <n v="8830633"/>
    <s v="DE"/>
    <x v="4"/>
    <s v="3004909099"/>
    <n v="1320013.892762431"/>
    <s v="USD"/>
    <n v="1"/>
    <n v="0"/>
    <s v="USD"/>
    <b v="1"/>
    <b v="0"/>
    <x v="2"/>
    <n v="14"/>
  </r>
  <r>
    <d v="2025-01-02T00:00:00"/>
    <s v="6264A67"/>
    <n v="8485644"/>
    <s v="DE"/>
    <x v="4"/>
    <s v="3004909099"/>
    <n v="1098082.02140884"/>
    <s v="USD"/>
    <n v="1"/>
    <n v="0"/>
    <s v="USD"/>
    <b v="1"/>
    <b v="0"/>
    <x v="2"/>
    <n v="15"/>
  </r>
  <r>
    <d v="2025-01-02T00:00:00"/>
    <s v="7034A709"/>
    <n v="4475992"/>
    <s v="DE"/>
    <x v="4"/>
    <s v="3004909099"/>
    <n v="658771.5599861878"/>
    <s v="USD"/>
    <n v="1"/>
    <n v="0"/>
    <s v="USD"/>
    <b v="1"/>
    <b v="0"/>
    <x v="2"/>
    <n v="16"/>
  </r>
  <r>
    <d v="2025-01-02T00:00:00"/>
    <s v="9466A409"/>
    <n v="6560100"/>
    <s v="DE"/>
    <x v="4"/>
    <s v="3004909099"/>
    <n v="652594.6280110497"/>
    <s v="USD"/>
    <n v="1"/>
    <n v="0"/>
    <s v="USD"/>
    <b v="1"/>
    <b v="0"/>
    <x v="2"/>
    <n v="17"/>
  </r>
  <r>
    <d v="2025-01-02T00:00:00"/>
    <s v="479A96"/>
    <n v="1743278"/>
    <s v="US"/>
    <x v="5"/>
    <s v="2844420003"/>
    <n v="352002"/>
    <s v="USD"/>
    <n v="1"/>
    <n v="0"/>
    <s v="USD"/>
    <b v="1"/>
    <b v="0"/>
    <x v="2"/>
    <n v="18"/>
  </r>
  <r>
    <d v="2025-01-02T00:00:00"/>
    <s v="8292A370"/>
    <n v="498098"/>
    <s v="DE"/>
    <x v="6"/>
    <s v="3006600000"/>
    <n v="863559.3983999999"/>
    <s v="USD"/>
    <n v="1"/>
    <n v="0"/>
    <s v="USD"/>
    <b v="1"/>
    <b v="0"/>
    <x v="2"/>
    <n v="19"/>
  </r>
  <r>
    <d v="2025-01-02T00:00:00"/>
    <s v="7228A498"/>
    <n v="2880566"/>
    <s v="FI"/>
    <x v="6"/>
    <s v="3006600000"/>
    <n v="770108.0688"/>
    <s v="USD"/>
    <n v="1"/>
    <n v="0"/>
    <s v="USD"/>
    <b v="1"/>
    <b v="0"/>
    <x v="2"/>
    <n v="20"/>
  </r>
  <r>
    <d v="2025-01-02T00:00:00"/>
    <s v="3235A948"/>
    <n v="9546487"/>
    <s v="DE"/>
    <x v="6"/>
    <s v="3004909900"/>
    <n v="349055.924"/>
    <s v="USD"/>
    <n v="1"/>
    <n v="0"/>
    <s v="USD"/>
    <b v="1"/>
    <b v="0"/>
    <x v="2"/>
    <n v="21"/>
  </r>
  <r>
    <d v="2025-01-02T00:00:00"/>
    <s v="6067A88"/>
    <n v="2317338"/>
    <s v="DE"/>
    <x v="6"/>
    <s v="3004909100"/>
    <n v="161116.53705"/>
    <s v="USD"/>
    <n v="1"/>
    <n v="0"/>
    <s v="USD"/>
    <b v="1"/>
    <b v="0"/>
    <x v="2"/>
    <n v="22"/>
  </r>
  <r>
    <d v="2025-01-02T00:00:00"/>
    <s v="577A610"/>
    <n v="9611256"/>
    <s v="DE"/>
    <x v="6"/>
    <s v="3004909100"/>
    <n v="79286.72714999999"/>
    <s v="USD"/>
    <n v="1"/>
    <n v="0"/>
    <s v="USD"/>
    <b v="1"/>
    <b v="0"/>
    <x v="2"/>
    <n v="23"/>
  </r>
  <r>
    <d v="2025-01-02T00:00:00"/>
    <s v="2167A460"/>
    <n v="9729031"/>
    <s v="DE"/>
    <x v="6"/>
    <s v="3004909100"/>
    <n v="79286.72714999999"/>
    <s v="USD"/>
    <n v="1"/>
    <n v="0"/>
    <s v="USD"/>
    <b v="1"/>
    <b v="0"/>
    <x v="2"/>
    <n v="24"/>
  </r>
  <r>
    <d v="2025-01-02T00:00:00"/>
    <s v="4383A195"/>
    <n v="7747959"/>
    <s v="FI"/>
    <x v="6"/>
    <s v="3006600000"/>
    <n v="30774.5808"/>
    <s v="USD"/>
    <n v="1"/>
    <n v="0"/>
    <s v="USD"/>
    <b v="1"/>
    <b v="0"/>
    <x v="2"/>
    <n v="25"/>
  </r>
  <r>
    <d v="2025-06-02T14:05:00"/>
    <s v="2802A966"/>
    <n v="8823112"/>
    <s v="DE"/>
    <x v="1"/>
    <s v="2918140100"/>
    <n v="106534800"/>
    <s v="USD"/>
    <n v="0"/>
    <n v="0"/>
    <s v="USD"/>
    <b v="1"/>
    <b v="0"/>
    <x v="1"/>
    <n v="26"/>
  </r>
  <r>
    <d v="2025-06-02T14:03:00"/>
    <s v="2458A788"/>
    <n v="2238256"/>
    <s v="DE"/>
    <x v="1"/>
    <s v="2918140100"/>
    <n v="106534800"/>
    <s v="USD"/>
    <n v="0"/>
    <n v="0"/>
    <s v="USD"/>
    <b v="1"/>
    <b v="0"/>
    <x v="1"/>
    <n v="27"/>
  </r>
  <r>
    <d v="2025-01-02T00:00:00"/>
    <s v="9347A273"/>
    <n v="9602700"/>
    <s v="IN"/>
    <x v="2"/>
    <s v="30049099"/>
    <n v="97612.8"/>
    <s v="USD"/>
    <n v="1"/>
    <n v="9761.280000000001"/>
    <s v="USD"/>
    <b v="1"/>
    <b v="0"/>
    <x v="2"/>
    <n v="28"/>
  </r>
  <r>
    <d v="2025-01-03T00:00:00"/>
    <s v="719A917"/>
    <n v="7894451"/>
    <s v="DE"/>
    <x v="3"/>
    <s v="30049069"/>
    <n v="2107563.0498"/>
    <s v="USD"/>
    <n v="1"/>
    <n v="0"/>
    <s v="USD"/>
    <b v="1"/>
    <b v="0"/>
    <x v="2"/>
    <n v="29"/>
  </r>
  <r>
    <d v="2025-01-03T00:00:00"/>
    <s v="8712A410"/>
    <n v="8732061"/>
    <s v="FI"/>
    <x v="3"/>
    <s v="30049069"/>
    <n v="302951.7036"/>
    <s v="USD"/>
    <n v="1"/>
    <n v="0"/>
    <s v="USD"/>
    <b v="1"/>
    <b v="0"/>
    <x v="2"/>
    <n v="30"/>
  </r>
  <r>
    <d v="2025-01-03T00:00:00"/>
    <s v="8395A909"/>
    <n v="6840001"/>
    <s v="DE"/>
    <x v="3"/>
    <s v="30049069"/>
    <n v="168926.8086"/>
    <s v="USD"/>
    <n v="1"/>
    <n v="0"/>
    <s v="USD"/>
    <b v="1"/>
    <b v="0"/>
    <x v="2"/>
    <n v="31"/>
  </r>
  <r>
    <d v="2025-01-03T00:00:00"/>
    <s v="9322A268"/>
    <n v="7149262"/>
    <s v="DE"/>
    <x v="3"/>
    <s v="30063017"/>
    <n v="147692.907"/>
    <s v="USD"/>
    <n v="1"/>
    <n v="0"/>
    <s v="USD"/>
    <b v="1"/>
    <b v="0"/>
    <x v="2"/>
    <n v="32"/>
  </r>
  <r>
    <d v="2025-01-03T00:00:00"/>
    <s v="4956A86"/>
    <n v="9328906"/>
    <s v="AR"/>
    <x v="3"/>
    <s v="21069030"/>
    <n v="72069.73379999999"/>
    <s v="USD"/>
    <n v="1"/>
    <n v="0"/>
    <s v="USD"/>
    <b v="1"/>
    <b v="0"/>
    <x v="2"/>
    <n v="33"/>
  </r>
  <r>
    <d v="2025-01-03T00:00:00"/>
    <s v="8147A132"/>
    <n v="46075"/>
    <s v="DE"/>
    <x v="3"/>
    <s v="30049029"/>
    <n v="35657.7984"/>
    <s v="USD"/>
    <n v="1"/>
    <n v="2567.3616"/>
    <s v="USD"/>
    <b v="1"/>
    <b v="0"/>
    <x v="2"/>
    <n v="34"/>
  </r>
  <r>
    <d v="2025-01-03T00:00:00"/>
    <s v="5799A929"/>
    <n v="4564674"/>
    <s v="US"/>
    <x v="3"/>
    <s v="90189010"/>
    <n v="7727.904"/>
    <s v="USD"/>
    <n v="1"/>
    <n v="0"/>
    <s v="USD"/>
    <b v="1"/>
    <b v="0"/>
    <x v="2"/>
    <n v="35"/>
  </r>
  <r>
    <d v="2025-01-03T00:00:00"/>
    <s v="825A59"/>
    <n v="8727348"/>
    <s v="MX"/>
    <x v="3"/>
    <s v="85072010"/>
    <n v="6209.510399999999"/>
    <s v="USD"/>
    <n v="1"/>
    <n v="1117.7118"/>
    <s v="USD"/>
    <b v="1"/>
    <b v="0"/>
    <x v="2"/>
    <n v="36"/>
  </r>
  <r>
    <d v="2025-01-03T00:00:00"/>
    <s v="8714A285"/>
    <n v="3035731"/>
    <s v="US"/>
    <x v="3"/>
    <s v="90189010"/>
    <n v="5956.532999999999"/>
    <s v="USD"/>
    <n v="1"/>
    <n v="0"/>
    <s v="USD"/>
    <b v="1"/>
    <b v="0"/>
    <x v="2"/>
    <n v="37"/>
  </r>
  <r>
    <d v="2025-01-03T00:00:00"/>
    <s v="9248A981"/>
    <n v="6273299"/>
    <s v="US"/>
    <x v="3"/>
    <s v="84198999"/>
    <n v="5164.8912"/>
    <s v="USD"/>
    <n v="1"/>
    <n v="578.4678"/>
    <s v="USD"/>
    <b v="1"/>
    <b v="0"/>
    <x v="2"/>
    <n v="38"/>
  </r>
  <r>
    <d v="2025-01-03T00:00:00"/>
    <s v="4199A822"/>
    <n v="4257263"/>
    <m/>
    <x v="3"/>
    <s v="85340051"/>
    <n v="4329.9342"/>
    <s v="USD"/>
    <n v="1"/>
    <n v="415.674"/>
    <s v="USD"/>
    <s v="ERROR"/>
    <b v="0"/>
    <x v="3"/>
    <n v="39"/>
  </r>
  <r>
    <d v="2025-01-03T00:00:00"/>
    <s v="2706A548"/>
    <n v="5494039"/>
    <m/>
    <x v="3"/>
    <s v="85340059"/>
    <n v="3129.021"/>
    <s v="USD"/>
    <n v="1"/>
    <n v="300.3858"/>
    <s v="USD"/>
    <s v="ERROR"/>
    <b v="0"/>
    <x v="3"/>
    <n v="40"/>
  </r>
  <r>
    <d v="2025-01-03T00:00:00"/>
    <s v="4946A406"/>
    <n v="5006235"/>
    <s v="US"/>
    <x v="3"/>
    <s v="28444200"/>
    <n v="2543.328"/>
    <s v="USD"/>
    <n v="1"/>
    <n v="0"/>
    <s v="USD"/>
    <b v="1"/>
    <b v="0"/>
    <x v="2"/>
    <n v="41"/>
  </r>
  <r>
    <d v="2025-01-03T00:00:00"/>
    <s v="9610A176"/>
    <n v="7821978"/>
    <s v="US"/>
    <x v="3"/>
    <s v="84834090"/>
    <n v="2304.504"/>
    <s v="USD"/>
    <n v="1"/>
    <n v="290.367"/>
    <s v="USD"/>
    <b v="1"/>
    <b v="0"/>
    <x v="2"/>
    <n v="42"/>
  </r>
  <r>
    <d v="2025-01-03T00:00:00"/>
    <s v="1148A260"/>
    <n v="787898"/>
    <s v="US"/>
    <x v="3"/>
    <s v="90189010"/>
    <n v="2206.935"/>
    <s v="USD"/>
    <n v="1"/>
    <n v="0"/>
    <s v="USD"/>
    <b v="1"/>
    <b v="0"/>
    <x v="2"/>
    <n v="43"/>
  </r>
  <r>
    <d v="2025-01-03T00:00:00"/>
    <s v="435A21"/>
    <n v="7329996"/>
    <m/>
    <x v="3"/>
    <s v="85011029"/>
    <n v="1991.1366"/>
    <s v="USD"/>
    <n v="1"/>
    <n v="358.4052"/>
    <s v="USD"/>
    <s v="ERROR"/>
    <b v="0"/>
    <x v="3"/>
    <n v="44"/>
  </r>
  <r>
    <d v="2025-01-03T00:00:00"/>
    <s v="6108A351"/>
    <n v="2488412"/>
    <s v="CN"/>
    <x v="3"/>
    <s v="85044029"/>
    <n v="1224.9846"/>
    <s v="USD"/>
    <n v="1"/>
    <n v="198.4482"/>
    <s v="USD"/>
    <b v="1"/>
    <b v="0"/>
    <x v="2"/>
    <n v="45"/>
  </r>
  <r>
    <d v="2025-01-03T00:00:00"/>
    <s v="2229A121"/>
    <n v="5675174"/>
    <m/>
    <x v="3"/>
    <s v="85340039"/>
    <n v="1101.6612"/>
    <s v="USD"/>
    <n v="1"/>
    <n v="105.759"/>
    <s v="USD"/>
    <s v="ERROR"/>
    <b v="0"/>
    <x v="3"/>
    <n v="46"/>
  </r>
  <r>
    <d v="2025-01-03T00:00:00"/>
    <s v="8036A272"/>
    <n v="8253838"/>
    <m/>
    <x v="3"/>
    <s v="85340039"/>
    <n v="898.8858"/>
    <s v="USD"/>
    <n v="1"/>
    <n v="86.2938"/>
    <s v="USD"/>
    <s v="ERROR"/>
    <b v="0"/>
    <x v="3"/>
    <n v="47"/>
  </r>
  <r>
    <d v="2025-01-03T00:00:00"/>
    <s v="9858A644"/>
    <n v="7091140"/>
    <s v="US"/>
    <x v="3"/>
    <s v="28444200"/>
    <n v="847.7765999999999"/>
    <s v="USD"/>
    <n v="1"/>
    <n v="0"/>
    <s v="USD"/>
    <b v="1"/>
    <b v="0"/>
    <x v="2"/>
    <n v="48"/>
  </r>
  <r>
    <d v="2025-01-03T00:00:00"/>
    <s v="5297A392"/>
    <n v="9976629"/>
    <s v="US"/>
    <x v="3"/>
    <s v="28444200"/>
    <n v="847.773"/>
    <s v="USD"/>
    <n v="1"/>
    <n v="0"/>
    <s v="USD"/>
    <b v="1"/>
    <b v="0"/>
    <x v="2"/>
    <n v="49"/>
  </r>
  <r>
    <d v="2025-01-03T00:00:00"/>
    <s v="7843A967"/>
    <n v="3518187"/>
    <s v="US"/>
    <x v="3"/>
    <s v="85365090"/>
    <n v="677.1276"/>
    <s v="USD"/>
    <n v="1"/>
    <n v="108.3402"/>
    <s v="USD"/>
    <b v="1"/>
    <b v="0"/>
    <x v="2"/>
    <n v="50"/>
  </r>
  <r>
    <d v="2025-01-03T00:00:00"/>
    <s v="3761A301"/>
    <n v="3069175"/>
    <s v="US"/>
    <x v="3"/>
    <s v="85340051"/>
    <n v="531.6713999999999"/>
    <s v="USD"/>
    <n v="1"/>
    <n v="51.0408"/>
    <s v="USD"/>
    <b v="1"/>
    <b v="0"/>
    <x v="2"/>
    <n v="51"/>
  </r>
  <r>
    <d v="2025-01-03T00:00:00"/>
    <s v="7725A169"/>
    <n v="9481601"/>
    <m/>
    <x v="3"/>
    <s v="85480090"/>
    <n v="508.7106"/>
    <s v="USD"/>
    <n v="1"/>
    <n v="64.098"/>
    <s v="USD"/>
    <s v="ERROR"/>
    <b v="0"/>
    <x v="3"/>
    <n v="52"/>
  </r>
  <r>
    <d v="2025-01-03T00:00:00"/>
    <s v="5960A429"/>
    <n v="6273350"/>
    <s v="MX"/>
    <x v="3"/>
    <s v="85340039"/>
    <n v="470.034"/>
    <s v="USD"/>
    <n v="1"/>
    <n v="45.1224"/>
    <s v="USD"/>
    <b v="1"/>
    <b v="0"/>
    <x v="2"/>
    <n v="53"/>
  </r>
  <r>
    <d v="2025-01-03T00:00:00"/>
    <s v="4306A873"/>
    <n v="2421974"/>
    <m/>
    <x v="3"/>
    <s v="85340019"/>
    <n v="436.5882"/>
    <s v="USD"/>
    <n v="1"/>
    <n v="41.913"/>
    <s v="USD"/>
    <s v="ERROR"/>
    <b v="0"/>
    <x v="3"/>
    <n v="54"/>
  </r>
  <r>
    <d v="2025-01-03T00:00:00"/>
    <s v="3514A554"/>
    <n v="9639763"/>
    <s v="DE"/>
    <x v="3"/>
    <s v="29372349"/>
    <n v="283.0644"/>
    <s v="USD"/>
    <n v="1"/>
    <n v="0"/>
    <s v="USD"/>
    <b v="1"/>
    <b v="0"/>
    <x v="2"/>
    <n v="55"/>
  </r>
  <r>
    <d v="2025-01-03T00:00:00"/>
    <s v="3293A935"/>
    <n v="3009012"/>
    <s v="US"/>
    <x v="3"/>
    <s v="76169900"/>
    <n v="273.951"/>
    <s v="USD"/>
    <n v="1"/>
    <n v="34.5186"/>
    <s v="USD"/>
    <b v="1"/>
    <b v="0"/>
    <x v="2"/>
    <n v="56"/>
  </r>
  <r>
    <d v="2025-01-03T00:00:00"/>
    <s v="264A491"/>
    <n v="1592962"/>
    <s v="MX"/>
    <x v="3"/>
    <s v="90189010"/>
    <n v="235.4508"/>
    <s v="USD"/>
    <n v="1"/>
    <n v="0"/>
    <s v="USD"/>
    <b v="1"/>
    <b v="0"/>
    <x v="2"/>
    <n v="57"/>
  </r>
  <r>
    <d v="2025-01-03T00:00:00"/>
    <s v="7164A215"/>
    <n v="222847"/>
    <s v="MX"/>
    <x v="3"/>
    <s v="85340039"/>
    <n v="158.6916"/>
    <s v="USD"/>
    <n v="1"/>
    <n v="15.2352"/>
    <s v="USD"/>
    <b v="1"/>
    <b v="0"/>
    <x v="2"/>
    <n v="58"/>
  </r>
  <r>
    <d v="2025-01-03T00:00:00"/>
    <s v="6134A67"/>
    <n v="2679664"/>
    <m/>
    <x v="3"/>
    <s v="85340039"/>
    <n v="77.42519999999999"/>
    <s v="USD"/>
    <n v="1"/>
    <n v="7.4322"/>
    <s v="USD"/>
    <s v="ERROR"/>
    <b v="0"/>
    <x v="3"/>
    <n v="59"/>
  </r>
  <r>
    <d v="2025-01-03T00:00:00"/>
    <s v="1224A665"/>
    <n v="3490296"/>
    <s v="US"/>
    <x v="3"/>
    <s v="39269090"/>
    <n v="69.8526"/>
    <s v="USD"/>
    <n v="1"/>
    <n v="12.573"/>
    <s v="USD"/>
    <b v="1"/>
    <b v="0"/>
    <x v="2"/>
    <n v="60"/>
  </r>
  <r>
    <d v="2025-01-03T00:00:00"/>
    <s v="7441A599"/>
    <n v="885454"/>
    <m/>
    <x v="3"/>
    <s v="85340051"/>
    <n v="68.589"/>
    <s v="USD"/>
    <n v="1"/>
    <n v="6.5844"/>
    <s v="USD"/>
    <s v="ERROR"/>
    <b v="0"/>
    <x v="3"/>
    <n v="61"/>
  </r>
  <r>
    <d v="2025-01-03T00:00:00"/>
    <s v="1407A170"/>
    <n v="8905742"/>
    <s v="DE"/>
    <x v="4"/>
    <s v="3002150090"/>
    <n v="7304260.773480663"/>
    <s v="USD"/>
    <n v="1"/>
    <n v="0"/>
    <s v="USD"/>
    <b v="1"/>
    <b v="0"/>
    <x v="2"/>
    <n v="62"/>
  </r>
  <r>
    <d v="2025-01-03T00:00:00"/>
    <s v="7888A390"/>
    <n v="598931"/>
    <s v="DE"/>
    <x v="4"/>
    <s v="3004909099"/>
    <n v="1566229.930966851"/>
    <s v="USD"/>
    <n v="1"/>
    <n v="0"/>
    <s v="USD"/>
    <b v="1"/>
    <b v="0"/>
    <x v="2"/>
    <n v="63"/>
  </r>
  <r>
    <d v="2025-01-03T00:00:00"/>
    <s v="9996A331"/>
    <n v="4576937"/>
    <s v="BR"/>
    <x v="7"/>
    <s v="3004391900"/>
    <n v="322834.28"/>
    <s v="USD"/>
    <n v="1"/>
    <n v="33904.2627072"/>
    <s v="USD"/>
    <b v="1"/>
    <b v="0"/>
    <x v="2"/>
    <n v="64"/>
  </r>
  <r>
    <d v="2025-01-03T00:00:00"/>
    <s v="3234A742"/>
    <n v="4807666"/>
    <s v="BR"/>
    <x v="7"/>
    <s v="3004391900"/>
    <n v="314920.93"/>
    <s v="USD"/>
    <n v="1"/>
    <n v="33073.1973456"/>
    <s v="USD"/>
    <b v="1"/>
    <b v="0"/>
    <x v="2"/>
    <n v="65"/>
  </r>
  <r>
    <d v="2025-01-03T00:00:00"/>
    <s v="2091A285"/>
    <n v="602989"/>
    <s v="DE"/>
    <x v="7"/>
    <s v="3006302000"/>
    <n v="154817.28"/>
    <s v="USD"/>
    <n v="1"/>
    <n v="0"/>
    <s v="USD"/>
    <b v="1"/>
    <b v="0"/>
    <x v="2"/>
    <n v="66"/>
  </r>
  <r>
    <d v="2025-01-03T00:00:00"/>
    <s v="9851A939"/>
    <n v="9066081"/>
    <s v="DE"/>
    <x v="7"/>
    <s v="3004902900"/>
    <n v="11064.75"/>
    <s v="USD"/>
    <n v="1"/>
    <n v="0"/>
    <s v="USD"/>
    <b v="1"/>
    <b v="0"/>
    <x v="2"/>
    <n v="67"/>
  </r>
  <r>
    <d v="2025-01-03T00:00:00"/>
    <s v="4066A96"/>
    <n v="7477616"/>
    <s v="DE"/>
    <x v="1"/>
    <s v="2918140100"/>
    <n v="105216000"/>
    <s v="USD"/>
    <n v="1"/>
    <n v="0"/>
    <s v="USD"/>
    <b v="1"/>
    <b v="0"/>
    <x v="1"/>
    <n v="68"/>
  </r>
  <r>
    <d v="2025-02-03T00:00:00"/>
    <s v="1704A78"/>
    <n v="4049004"/>
    <s v="DE"/>
    <x v="1"/>
    <s v="2918140100"/>
    <n v="105216000"/>
    <s v="USD"/>
    <n v="1"/>
    <n v="0"/>
    <s v="USD"/>
    <b v="1"/>
    <b v="0"/>
    <x v="1"/>
    <n v="69"/>
  </r>
  <r>
    <d v="2025-02-13T00:00:00"/>
    <s v="3221A547"/>
    <n v="7236515"/>
    <s v="DE"/>
    <x v="1"/>
    <s v="2918140100"/>
    <n v="105216000"/>
    <s v="USD"/>
    <n v="1"/>
    <n v="0"/>
    <s v="USD"/>
    <b v="1"/>
    <b v="0"/>
    <x v="1"/>
    <n v="70"/>
  </r>
  <r>
    <d v="2025-02-24T00:00:00"/>
    <s v="2048A475"/>
    <n v="6248541"/>
    <s v="DE"/>
    <x v="1"/>
    <s v="2918140100"/>
    <n v="105216000"/>
    <s v="USD"/>
    <n v="1"/>
    <n v="0"/>
    <s v="USD"/>
    <b v="1"/>
    <b v="0"/>
    <x v="1"/>
    <n v="71"/>
  </r>
  <r>
    <d v="2025-02-27T00:00:00"/>
    <s v="7425A407"/>
    <n v="5196484"/>
    <s v="DE"/>
    <x v="1"/>
    <s v="2918140100"/>
    <n v="105216000"/>
    <s v="USD"/>
    <n v="1"/>
    <n v="0"/>
    <s v="USD"/>
    <b v="1"/>
    <b v="0"/>
    <x v="1"/>
    <n v="72"/>
  </r>
  <r>
    <d v="2025-07-30T15:57:00"/>
    <s v="5659A927"/>
    <n v="1224203"/>
    <s v="DE"/>
    <x v="1"/>
    <n v="2918140100"/>
    <n v="104385664"/>
    <s v="USD"/>
    <m/>
    <n v="0"/>
    <s v="USD"/>
    <b v="1"/>
    <b v="0"/>
    <x v="1"/>
    <n v="73"/>
  </r>
  <r>
    <d v="2025-07-30T15:55:00"/>
    <s v="3444A651"/>
    <n v="9863349"/>
    <s v="DE"/>
    <x v="1"/>
    <n v="2918140100"/>
    <n v="104385664"/>
    <s v="USD"/>
    <m/>
    <n v="0"/>
    <s v="USD"/>
    <b v="1"/>
    <b v="0"/>
    <x v="1"/>
    <n v="74"/>
  </r>
  <r>
    <d v="2025-07-30T16:06:00"/>
    <s v="1340A630"/>
    <n v="7935997"/>
    <s v="DE"/>
    <x v="1"/>
    <n v="2918140100"/>
    <n v="104385664"/>
    <s v="USD"/>
    <m/>
    <n v="0"/>
    <s v="USD"/>
    <b v="1"/>
    <b v="0"/>
    <x v="1"/>
    <n v="75"/>
  </r>
  <r>
    <d v="2025-07-30T16:02:00"/>
    <s v="4364A525"/>
    <n v="1576763"/>
    <s v="DE"/>
    <x v="1"/>
    <n v="2918140100"/>
    <n v="104385664"/>
    <s v="USD"/>
    <m/>
    <n v="0"/>
    <s v="USD"/>
    <b v="1"/>
    <b v="0"/>
    <x v="1"/>
    <n v="76"/>
  </r>
  <r>
    <d v="2025-08-21T19:13:00"/>
    <s v="6396A938"/>
    <n v="7701194"/>
    <s v="DE"/>
    <x v="1"/>
    <n v="2918140100"/>
    <n v="101823616"/>
    <s v="USD"/>
    <n v="5560"/>
    <n v="0"/>
    <s v="USD"/>
    <b v="1"/>
    <b v="0"/>
    <x v="1"/>
    <n v="77"/>
  </r>
  <r>
    <d v="2025-08-28T12:15:00"/>
    <s v="4943A812"/>
    <n v="841496"/>
    <s v="DE"/>
    <x v="1"/>
    <n v="2918140100"/>
    <n v="101823616"/>
    <s v="USD"/>
    <n v="5560"/>
    <n v="0"/>
    <s v="USD"/>
    <b v="1"/>
    <b v="0"/>
    <x v="1"/>
    <n v="78"/>
  </r>
  <r>
    <d v="2025-08-28T12:16:00"/>
    <s v="1227A733"/>
    <n v="8752018"/>
    <s v="DE"/>
    <x v="1"/>
    <n v="2918140100"/>
    <n v="101823616"/>
    <s v="USD"/>
    <n v="5560"/>
    <n v="0"/>
    <s v="USD"/>
    <b v="1"/>
    <b v="0"/>
    <x v="1"/>
    <n v="79"/>
  </r>
  <r>
    <d v="2025-08-28T12:18:00"/>
    <s v="50A462"/>
    <n v="340343"/>
    <s v="DE"/>
    <x v="1"/>
    <n v="2918140100"/>
    <n v="94695962.88000001"/>
    <s v="USD"/>
    <n v="5560"/>
    <n v="0"/>
    <s v="USD"/>
    <b v="1"/>
    <b v="0"/>
    <x v="1"/>
    <n v="80"/>
  </r>
  <r>
    <d v="2025-03-02T00:00:00"/>
    <s v="9557A850"/>
    <n v="9059877"/>
    <s v="AT"/>
    <x v="1"/>
    <s v="2918140100"/>
    <n v="37000000"/>
    <s v="USD"/>
    <n v="1"/>
    <n v="0"/>
    <s v="USD"/>
    <b v="1"/>
    <b v="0"/>
    <x v="1"/>
    <n v="81"/>
  </r>
  <r>
    <d v="2025-03-12T00:00:00"/>
    <s v="6553A777"/>
    <n v="2469938"/>
    <s v="AT"/>
    <x v="1"/>
    <s v="2918140100"/>
    <n v="37000000"/>
    <s v="USD"/>
    <n v="1"/>
    <n v="0"/>
    <s v="USD"/>
    <b v="1"/>
    <b v="0"/>
    <x v="1"/>
    <n v="82"/>
  </r>
  <r>
    <d v="2025-03-12T00:00:00"/>
    <s v="5322A290"/>
    <n v="5598401"/>
    <s v="AT"/>
    <x v="1"/>
    <s v="2918140100"/>
    <n v="37000000"/>
    <s v="USD"/>
    <n v="1"/>
    <n v="0"/>
    <s v="USD"/>
    <b v="1"/>
    <b v="0"/>
    <x v="1"/>
    <n v="83"/>
  </r>
  <r>
    <d v="2025-03-17T00:00:00"/>
    <s v="8340A805"/>
    <n v="608350"/>
    <s v="AT"/>
    <x v="1"/>
    <s v="2918140100"/>
    <n v="37000000"/>
    <s v="USD"/>
    <n v="1"/>
    <n v="0"/>
    <s v="USD"/>
    <b v="1"/>
    <b v="0"/>
    <x v="1"/>
    <n v="84"/>
  </r>
  <r>
    <d v="2025-03-24T13:23:00"/>
    <s v="5541A141"/>
    <n v="8244083"/>
    <s v="AT"/>
    <x v="1"/>
    <n v="2918140100"/>
    <n v="37000000"/>
    <s v="USD"/>
    <m/>
    <n v="0"/>
    <s v="USD"/>
    <b v="1"/>
    <b v="0"/>
    <x v="1"/>
    <n v="85"/>
  </r>
  <r>
    <d v="2025-03-31T12:54:00"/>
    <s v="1262A52"/>
    <n v="4892438"/>
    <s v="AT"/>
    <x v="1"/>
    <n v="2918140100"/>
    <n v="37000000"/>
    <s v="USD"/>
    <m/>
    <n v="0"/>
    <s v="USD"/>
    <b v="1"/>
    <b v="0"/>
    <x v="1"/>
    <n v="86"/>
  </r>
  <r>
    <d v="2025-01-04T00:00:00"/>
    <s v="1365A982"/>
    <n v="6043347"/>
    <s v="DE"/>
    <x v="2"/>
    <s v="30066000"/>
    <n v="1306638.313"/>
    <s v="USD"/>
    <n v="1"/>
    <n v="130663.8313"/>
    <s v="USD"/>
    <b v="1"/>
    <b v="0"/>
    <x v="2"/>
    <n v="87"/>
  </r>
  <r>
    <d v="2025-04-24T13:26:00"/>
    <s v="1706A127"/>
    <n v="621885"/>
    <s v="AT"/>
    <x v="1"/>
    <n v="2918140100"/>
    <n v="37000000"/>
    <s v="USD"/>
    <m/>
    <n v="0"/>
    <s v="USD"/>
    <b v="1"/>
    <b v="0"/>
    <x v="1"/>
    <n v="88"/>
  </r>
  <r>
    <d v="2025-01-05T00:00:00"/>
    <s v="1466A776"/>
    <n v="3513841"/>
    <s v="DE"/>
    <x v="2"/>
    <s v="30049099"/>
    <n v="26114.4"/>
    <s v="USD"/>
    <n v="1"/>
    <n v="2611.44"/>
    <s v="USD"/>
    <b v="1"/>
    <b v="0"/>
    <x v="2"/>
    <n v="89"/>
  </r>
  <r>
    <d v="2025-01-05T00:00:00"/>
    <s v="2242A13"/>
    <n v="7931775"/>
    <s v="NO"/>
    <x v="2"/>
    <s v="28444300005"/>
    <n v="10962.468"/>
    <s v="USD"/>
    <n v="1"/>
    <n v="0"/>
    <s v="USD"/>
    <b v="1"/>
    <b v="0"/>
    <x v="2"/>
    <n v="90"/>
  </r>
  <r>
    <d v="2025-01-05T00:00:00"/>
    <s v="8463A248"/>
    <n v="1194487"/>
    <s v="NO"/>
    <x v="2"/>
    <s v="28444300005"/>
    <n v="7308.312"/>
    <s v="USD"/>
    <n v="1"/>
    <n v="0"/>
    <s v="USD"/>
    <b v="1"/>
    <b v="0"/>
    <x v="2"/>
    <n v="91"/>
  </r>
  <r>
    <d v="2025-01-05T00:00:00"/>
    <s v="3204A773"/>
    <n v="1639120"/>
    <s v="NO"/>
    <x v="2"/>
    <s v="28444300005"/>
    <n v="7308.279"/>
    <s v="USD"/>
    <n v="1"/>
    <n v="0"/>
    <s v="USD"/>
    <b v="1"/>
    <b v="0"/>
    <x v="2"/>
    <n v="92"/>
  </r>
  <r>
    <d v="2025-01-05T00:00:00"/>
    <s v="9111A439"/>
    <n v="3682462"/>
    <s v="NO"/>
    <x v="2"/>
    <s v="28444300005"/>
    <n v="5481.234"/>
    <s v="USD"/>
    <n v="1"/>
    <n v="0"/>
    <s v="USD"/>
    <b v="1"/>
    <b v="0"/>
    <x v="2"/>
    <n v="93"/>
  </r>
  <r>
    <d v="2025-01-05T00:00:00"/>
    <s v="9791A476"/>
    <n v="1565899"/>
    <s v="NO"/>
    <x v="2"/>
    <s v="28444300005"/>
    <n v="3654.156"/>
    <s v="USD"/>
    <n v="1"/>
    <n v="0"/>
    <s v="USD"/>
    <b v="1"/>
    <b v="0"/>
    <x v="2"/>
    <n v="94"/>
  </r>
  <r>
    <d v="2025-01-05T00:00:00"/>
    <s v="2203A469"/>
    <n v="644955"/>
    <s v="NO"/>
    <x v="2"/>
    <s v="28444300005"/>
    <n v="3654.123"/>
    <s v="USD"/>
    <n v="1"/>
    <n v="0"/>
    <s v="USD"/>
    <b v="1"/>
    <b v="0"/>
    <x v="2"/>
    <n v="95"/>
  </r>
  <r>
    <d v="2025-01-05T00:00:00"/>
    <s v="7848A247"/>
    <n v="8046231"/>
    <s v="NO"/>
    <x v="2"/>
    <s v="28444300005"/>
    <n v="1827.078"/>
    <s v="USD"/>
    <n v="1"/>
    <n v="0"/>
    <s v="USD"/>
    <b v="1"/>
    <b v="0"/>
    <x v="2"/>
    <n v="96"/>
  </r>
  <r>
    <d v="2025-01-05T00:00:00"/>
    <s v="704A81"/>
    <n v="9068166"/>
    <s v="NO"/>
    <x v="2"/>
    <s v="28444300005"/>
    <n v="1827.045"/>
    <s v="USD"/>
    <n v="1"/>
    <n v="0"/>
    <s v="USD"/>
    <b v="1"/>
    <b v="0"/>
    <x v="2"/>
    <n v="97"/>
  </r>
  <r>
    <d v="2025-01-06T00:00:00"/>
    <s v="8058A738"/>
    <n v="7388403"/>
    <m/>
    <x v="3"/>
    <s v="29362490"/>
    <n v="231806.9592"/>
    <s v="USD"/>
    <n v="1"/>
    <n v="0"/>
    <s v="USD"/>
    <s v="ERROR"/>
    <b v="0"/>
    <x v="3"/>
    <n v="98"/>
  </r>
  <r>
    <d v="2025-01-06T00:00:00"/>
    <s v="1136A840"/>
    <n v="4282341"/>
    <m/>
    <x v="3"/>
    <s v="29362490"/>
    <n v="231806.9592"/>
    <s v="USD"/>
    <n v="1"/>
    <n v="0"/>
    <s v="USD"/>
    <s v="ERROR"/>
    <b v="0"/>
    <x v="3"/>
    <n v="99"/>
  </r>
  <r>
    <d v="2025-01-06T00:00:00"/>
    <s v="1006A700"/>
    <n v="497009"/>
    <s v="DE"/>
    <x v="3"/>
    <s v="30063017"/>
    <n v="154516.212"/>
    <s v="USD"/>
    <n v="1"/>
    <n v="0"/>
    <s v="USD"/>
    <b v="1"/>
    <b v="0"/>
    <x v="2"/>
    <n v="100"/>
  </r>
  <r>
    <d v="2025-01-06T00:00:00"/>
    <s v="8415A401"/>
    <n v="1913337"/>
    <s v="DE"/>
    <x v="3"/>
    <s v="30063017"/>
    <n v="147692.907"/>
    <s v="USD"/>
    <n v="1"/>
    <n v="0"/>
    <s v="USD"/>
    <b v="1"/>
    <b v="0"/>
    <x v="2"/>
    <n v="101"/>
  </r>
  <r>
    <d v="2025-01-06T00:00:00"/>
    <s v="6279A520"/>
    <n v="8779163"/>
    <s v="DE"/>
    <x v="3"/>
    <s v="30063017"/>
    <n v="124431.9156"/>
    <s v="USD"/>
    <n v="1"/>
    <n v="0"/>
    <s v="USD"/>
    <b v="1"/>
    <b v="0"/>
    <x v="2"/>
    <n v="102"/>
  </r>
  <r>
    <d v="2025-01-06T00:00:00"/>
    <s v="1370A310"/>
    <n v="5172089"/>
    <s v="DE"/>
    <x v="3"/>
    <s v="30063017"/>
    <n v="124431.9156"/>
    <s v="USD"/>
    <n v="1"/>
    <n v="0"/>
    <s v="USD"/>
    <b v="1"/>
    <b v="0"/>
    <x v="2"/>
    <n v="103"/>
  </r>
  <r>
    <d v="2025-01-06T00:00:00"/>
    <s v="3045A283"/>
    <n v="5444220"/>
    <s v="DE"/>
    <x v="3"/>
    <s v="30063017"/>
    <n v="124359.9066"/>
    <s v="USD"/>
    <n v="1"/>
    <n v="0"/>
    <s v="USD"/>
    <b v="1"/>
    <b v="0"/>
    <x v="2"/>
    <n v="104"/>
  </r>
  <r>
    <d v="2025-01-06T00:00:00"/>
    <s v="9322A979"/>
    <n v="2476448"/>
    <s v="DE"/>
    <x v="3"/>
    <s v="30063017"/>
    <n v="121695.5664"/>
    <s v="USD"/>
    <n v="1"/>
    <n v="0"/>
    <s v="USD"/>
    <b v="1"/>
    <b v="0"/>
    <x v="2"/>
    <n v="105"/>
  </r>
  <r>
    <d v="2025-01-06T00:00:00"/>
    <s v="6937A921"/>
    <n v="5034565"/>
    <s v="DE"/>
    <x v="3"/>
    <s v="30063017"/>
    <n v="118887.2064"/>
    <s v="USD"/>
    <n v="1"/>
    <n v="0"/>
    <s v="USD"/>
    <b v="1"/>
    <b v="0"/>
    <x v="2"/>
    <n v="106"/>
  </r>
  <r>
    <d v="2025-01-06T00:00:00"/>
    <s v="9642A45"/>
    <n v="8830080"/>
    <s v="US"/>
    <x v="3"/>
    <s v="90183119"/>
    <n v="70527.9654"/>
    <s v="USD"/>
    <n v="1"/>
    <n v="10141.3008"/>
    <s v="USD"/>
    <b v="1"/>
    <b v="0"/>
    <x v="2"/>
    <n v="107"/>
  </r>
  <r>
    <d v="2025-01-06T00:00:00"/>
    <s v="9467A447"/>
    <n v="1688366"/>
    <s v="ES"/>
    <x v="3"/>
    <s v="30049069"/>
    <n v="55634.931"/>
    <s v="USD"/>
    <n v="1"/>
    <n v="4005.7146"/>
    <s v="USD"/>
    <b v="1"/>
    <b v="0"/>
    <x v="2"/>
    <n v="108"/>
  </r>
  <r>
    <d v="2025-01-06T00:00:00"/>
    <s v="5377A658"/>
    <n v="3013404"/>
    <s v="CN"/>
    <x v="3"/>
    <s v="90189010"/>
    <n v="39080.7396"/>
    <s v="USD"/>
    <n v="1"/>
    <n v="0"/>
    <s v="USD"/>
    <b v="1"/>
    <b v="0"/>
    <x v="2"/>
    <n v="109"/>
  </r>
  <r>
    <d v="2025-01-06T00:00:00"/>
    <s v="8060A647"/>
    <n v="6665704"/>
    <s v="ES"/>
    <x v="3"/>
    <s v="30049069"/>
    <n v="37306.944"/>
    <s v="USD"/>
    <n v="1"/>
    <n v="2686.1004"/>
    <s v="USD"/>
    <b v="1"/>
    <b v="0"/>
    <x v="2"/>
    <n v="110"/>
  </r>
  <r>
    <d v="2025-01-06T00:00:00"/>
    <s v="4746A651"/>
    <n v="2509171"/>
    <s v="US"/>
    <x v="3"/>
    <s v="90183119"/>
    <n v="8252.598599999999"/>
    <s v="USD"/>
    <n v="1"/>
    <n v="1193.2218"/>
    <s v="USD"/>
    <b v="1"/>
    <b v="0"/>
    <x v="2"/>
    <n v="111"/>
  </r>
  <r>
    <d v="2025-08-19T16:11:00"/>
    <s v="6250A304"/>
    <n v="5226126"/>
    <s v="NL"/>
    <x v="1"/>
    <n v="9018909999"/>
    <n v="597257.668098"/>
    <s v="USD"/>
    <n v="1597.05"/>
    <n v="0"/>
    <s v="USD"/>
    <b v="1"/>
    <b v="0"/>
    <x v="2"/>
    <n v="112"/>
  </r>
  <r>
    <d v="2025-07-10T12:25:00"/>
    <s v="88A359"/>
    <n v="3231784"/>
    <s v="DE"/>
    <x v="1"/>
    <n v="3006600100"/>
    <n v="578533.89868032"/>
    <s v="USD"/>
    <m/>
    <n v="86780.084802048"/>
    <s v="USD"/>
    <b v="1"/>
    <b v="0"/>
    <x v="2"/>
    <n v="113"/>
  </r>
  <r>
    <d v="2025-05-21T16:05:00"/>
    <s v="6309A185"/>
    <n v="3776544"/>
    <s v="FI"/>
    <x v="1"/>
    <n v="3006600100"/>
    <n v="578001.26510532"/>
    <s v="USD"/>
    <m/>
    <n v="0"/>
    <s v="USD"/>
    <b v="1"/>
    <b v="0"/>
    <x v="2"/>
    <n v="114"/>
  </r>
  <r>
    <d v="2025-05-14T17:59:00"/>
    <s v="9214A123"/>
    <n v="7464958"/>
    <s v="CH"/>
    <x v="1"/>
    <n v="3002129999"/>
    <n v="572338.7682671134"/>
    <s v="USD"/>
    <m/>
    <n v="0"/>
    <s v="USD"/>
    <b v="1"/>
    <b v="0"/>
    <x v="2"/>
    <n v="115"/>
  </r>
  <r>
    <d v="2025-02-11T00:00:00"/>
    <s v="7846A326"/>
    <n v="1734170"/>
    <s v="DE"/>
    <x v="1"/>
    <s v="3006600100"/>
    <n v="546083.703649792"/>
    <s v="USD"/>
    <n v="1"/>
    <n v="0"/>
    <s v="USD"/>
    <b v="1"/>
    <b v="0"/>
    <x v="2"/>
    <n v="116"/>
  </r>
  <r>
    <d v="2025-07-25T09:41:00"/>
    <s v="6111A940"/>
    <n v="7099053"/>
    <s v="DE"/>
    <x v="1"/>
    <n v="3006600100"/>
    <n v="543990.780580992"/>
    <s v="USD"/>
    <m/>
    <n v="0"/>
    <s v="USD"/>
    <b v="1"/>
    <b v="0"/>
    <x v="2"/>
    <n v="117"/>
  </r>
  <r>
    <d v="2025-01-15T00:00:00"/>
    <s v="3021A764"/>
    <n v="3490891"/>
    <s v="DE"/>
    <x v="1"/>
    <s v="3004909999"/>
    <n v="534754.9804765801"/>
    <s v="USD"/>
    <n v="1"/>
    <n v="0"/>
    <s v="USD"/>
    <b v="1"/>
    <b v="0"/>
    <x v="2"/>
    <n v="118"/>
  </r>
  <r>
    <d v="2025-02-21T00:00:00"/>
    <s v="4360A531"/>
    <n v="8320370"/>
    <s v="DE"/>
    <x v="1"/>
    <s v="3006300100"/>
    <n v="531049.1835948096"/>
    <s v="USD"/>
    <n v="1"/>
    <n v="0"/>
    <s v="USD"/>
    <b v="1"/>
    <b v="0"/>
    <x v="2"/>
    <n v="119"/>
  </r>
  <r>
    <d v="2025-08-13T17:14:00"/>
    <s v="4219A302"/>
    <n v="9184007"/>
    <s v="DE"/>
    <x v="1"/>
    <n v="3004509999"/>
    <n v="528233.978006928"/>
    <s v="USD"/>
    <n v="136.34"/>
    <n v="0"/>
    <s v="USD"/>
    <b v="1"/>
    <b v="0"/>
    <x v="2"/>
    <n v="120"/>
  </r>
  <r>
    <d v="2025-04-11T12:40:00"/>
    <s v="7934A79"/>
    <n v="611037"/>
    <s v="DE"/>
    <x v="1"/>
    <n v="3004909999"/>
    <n v="524432.5614"/>
    <s v="USD"/>
    <m/>
    <n v="0"/>
    <s v="USD"/>
    <b v="1"/>
    <b v="0"/>
    <x v="2"/>
    <n v="121"/>
  </r>
  <r>
    <d v="2025-08-11T13:46:00"/>
    <s v="123A194"/>
    <n v="3208909"/>
    <s v="DE"/>
    <x v="1"/>
    <n v="3006600100"/>
    <n v="519089.15623278"/>
    <s v="USD"/>
    <n v="170.13"/>
    <n v="0"/>
    <s v="USD"/>
    <b v="1"/>
    <b v="0"/>
    <x v="2"/>
    <n v="122"/>
  </r>
  <r>
    <d v="2025-03-20T00:00:00"/>
    <s v="8881A821"/>
    <n v="4879528"/>
    <s v="DE"/>
    <x v="1"/>
    <s v="3006300100"/>
    <n v="517226.44993536"/>
    <s v="USD"/>
    <n v="1"/>
    <n v="0"/>
    <s v="USD"/>
    <b v="1"/>
    <b v="0"/>
    <x v="2"/>
    <n v="123"/>
  </r>
  <r>
    <d v="2025-03-05T00:00:00"/>
    <s v="2553A238"/>
    <n v="5396934"/>
    <s v="DE"/>
    <x v="1"/>
    <s v="30043999"/>
    <n v="504913.1114716416"/>
    <s v="USD"/>
    <n v="1"/>
    <n v="50633.513"/>
    <s v="USD"/>
    <b v="1"/>
    <b v="0"/>
    <x v="2"/>
    <n v="124"/>
  </r>
  <r>
    <d v="2025-07-10T00:00:00"/>
    <s v="6324A989"/>
    <n v="6541999"/>
    <s v="DE"/>
    <x v="1"/>
    <n v="30049099"/>
    <n v="496137.0242744256"/>
    <s v="USD"/>
    <m/>
    <n v="0"/>
    <s v="USD"/>
    <b v="1"/>
    <b v="0"/>
    <x v="2"/>
    <n v="125"/>
  </r>
  <r>
    <d v="2025-05-01T08:52:00"/>
    <s v="6775A582"/>
    <n v="5163816"/>
    <s v="BR"/>
    <x v="1"/>
    <n v="2106909999"/>
    <n v="491996.2087719389"/>
    <s v="USD"/>
    <m/>
    <n v="70941.367"/>
    <s v="USD"/>
    <b v="1"/>
    <b v="0"/>
    <x v="2"/>
    <n v="126"/>
  </r>
  <r>
    <d v="2025-05-23T15:52:00"/>
    <s v="2092A14"/>
    <n v="9937991"/>
    <s v="BR"/>
    <x v="1"/>
    <n v="2106909999"/>
    <n v="491802.0748191712"/>
    <s v="USD"/>
    <m/>
    <n v="55957.363"/>
    <s v="USD"/>
    <b v="1"/>
    <b v="0"/>
    <x v="2"/>
    <n v="127"/>
  </r>
  <r>
    <d v="2025-02-02T00:00:00"/>
    <s v="9856A530"/>
    <n v="5389948"/>
    <s v="NO"/>
    <x v="2"/>
    <s v="28444300005"/>
    <n v="17004.24"/>
    <s v="USD"/>
    <n v="1"/>
    <n v="0"/>
    <s v="USD"/>
    <b v="1"/>
    <b v="0"/>
    <x v="2"/>
    <n v="128"/>
  </r>
  <r>
    <d v="2025-02-02T00:00:00"/>
    <s v="8322A865"/>
    <n v="4898387"/>
    <s v="NO"/>
    <x v="2"/>
    <s v="28444300005"/>
    <n v="12145.914"/>
    <s v="USD"/>
    <n v="1"/>
    <n v="0"/>
    <s v="USD"/>
    <b v="1"/>
    <b v="0"/>
    <x v="2"/>
    <n v="129"/>
  </r>
  <r>
    <d v="2025-02-02T00:00:00"/>
    <s v="2717A864"/>
    <n v="118070"/>
    <s v="NO"/>
    <x v="2"/>
    <s v="28444300005"/>
    <n v="12145.881"/>
    <s v="USD"/>
    <n v="1"/>
    <n v="0"/>
    <s v="USD"/>
    <b v="1"/>
    <b v="0"/>
    <x v="2"/>
    <n v="130"/>
  </r>
  <r>
    <d v="2025-02-02T00:00:00"/>
    <s v="2048A279"/>
    <n v="2379304"/>
    <s v="NO"/>
    <x v="2"/>
    <s v="28444300005"/>
    <n v="9716.685000000001"/>
    <s v="USD"/>
    <n v="1"/>
    <n v="0"/>
    <s v="USD"/>
    <b v="1"/>
    <b v="0"/>
    <x v="2"/>
    <n v="131"/>
  </r>
  <r>
    <d v="2025-02-02T00:00:00"/>
    <s v="6551A475"/>
    <n v="9400931"/>
    <s v="NO"/>
    <x v="2"/>
    <s v="28444300005"/>
    <n v="4858.359"/>
    <s v="USD"/>
    <n v="1"/>
    <n v="0"/>
    <s v="USD"/>
    <b v="1"/>
    <b v="0"/>
    <x v="2"/>
    <n v="132"/>
  </r>
  <r>
    <d v="2025-02-02T00:00:00"/>
    <s v="1488A214"/>
    <n v="8316688"/>
    <s v="NO"/>
    <x v="2"/>
    <s v="28444300005"/>
    <n v="4858.326"/>
    <s v="USD"/>
    <n v="1"/>
    <n v="0"/>
    <s v="USD"/>
    <b v="1"/>
    <b v="0"/>
    <x v="2"/>
    <n v="133"/>
  </r>
  <r>
    <d v="2025-02-02T00:00:00"/>
    <s v="720A697"/>
    <n v="8775837"/>
    <s v="NO"/>
    <x v="2"/>
    <s v="28444300005"/>
    <n v="2429.196"/>
    <s v="USD"/>
    <n v="1"/>
    <n v="0"/>
    <s v="USD"/>
    <b v="1"/>
    <b v="0"/>
    <x v="2"/>
    <n v="134"/>
  </r>
  <r>
    <d v="2025-02-02T00:00:00"/>
    <s v="32A952"/>
    <n v="4666215"/>
    <s v="NO"/>
    <x v="2"/>
    <s v="28444300005"/>
    <n v="2429.163"/>
    <s v="USD"/>
    <n v="1"/>
    <n v="0"/>
    <s v="USD"/>
    <b v="1"/>
    <b v="0"/>
    <x v="2"/>
    <n v="135"/>
  </r>
  <r>
    <d v="2025-02-03T00:00:00"/>
    <s v="2968A644"/>
    <n v="3853753"/>
    <s v="DE"/>
    <x v="3"/>
    <s v="30049029"/>
    <n v="108547.4214"/>
    <s v="USD"/>
    <n v="1"/>
    <n v="7815.4146"/>
    <s v="USD"/>
    <b v="1"/>
    <b v="0"/>
    <x v="2"/>
    <n v="136"/>
  </r>
  <r>
    <d v="2025-02-03T00:00:00"/>
    <s v="3053A305"/>
    <n v="3291248"/>
    <s v="DE"/>
    <x v="3"/>
    <s v="30049029"/>
    <n v="107658.7398"/>
    <s v="USD"/>
    <n v="1"/>
    <n v="7751.429999999999"/>
    <s v="USD"/>
    <b v="1"/>
    <b v="0"/>
    <x v="2"/>
    <n v="137"/>
  </r>
  <r>
    <d v="2025-02-03T00:00:00"/>
    <s v="4847A944"/>
    <n v="8800834"/>
    <s v="MX"/>
    <x v="3"/>
    <s v="30045090"/>
    <n v="95794.4268"/>
    <s v="USD"/>
    <n v="1"/>
    <n v="5498.9604"/>
    <s v="USD"/>
    <b v="1"/>
    <b v="0"/>
    <x v="2"/>
    <n v="138"/>
  </r>
  <r>
    <d v="2025-02-03T00:00:00"/>
    <s v="1853A968"/>
    <n v="7304961"/>
    <s v="DE"/>
    <x v="3"/>
    <s v="30063017"/>
    <n v="47579.8266"/>
    <s v="USD"/>
    <n v="1"/>
    <n v="0"/>
    <s v="USD"/>
    <b v="1"/>
    <b v="0"/>
    <x v="2"/>
    <n v="139"/>
  </r>
  <r>
    <d v="2025-02-03T00:00:00"/>
    <s v="1116A558"/>
    <n v="2512054"/>
    <s v="MX"/>
    <x v="3"/>
    <s v="30045090"/>
    <n v="39371.6178"/>
    <s v="USD"/>
    <n v="1"/>
    <n v="2286.603"/>
    <s v="USD"/>
    <b v="1"/>
    <b v="0"/>
    <x v="2"/>
    <n v="140"/>
  </r>
  <r>
    <d v="2025-02-03T00:00:00"/>
    <s v="9097A603"/>
    <n v="6146937"/>
    <s v="DE"/>
    <x v="3"/>
    <s v="30049029"/>
    <n v="26693.7372"/>
    <s v="USD"/>
    <n v="1"/>
    <n v="1921.95"/>
    <s v="USD"/>
    <b v="1"/>
    <b v="0"/>
    <x v="2"/>
    <n v="141"/>
  </r>
  <r>
    <d v="2025-02-03T00:00:00"/>
    <s v="5762A173"/>
    <n v="6275178"/>
    <s v="DE"/>
    <x v="3"/>
    <s v="30063017"/>
    <n v="13562.4744"/>
    <s v="USD"/>
    <n v="1"/>
    <n v="0"/>
    <s v="USD"/>
    <b v="1"/>
    <b v="0"/>
    <x v="2"/>
    <n v="142"/>
  </r>
  <r>
    <d v="2025-02-03T00:00:00"/>
    <s v="7942A69"/>
    <n v="5310725"/>
    <s v="DE"/>
    <x v="8"/>
    <s v="30049039"/>
    <n v="36748.04"/>
    <s v="USD"/>
    <n v="1"/>
    <n v="0"/>
    <s v="USD"/>
    <b v="1"/>
    <b v="0"/>
    <x v="2"/>
    <n v="143"/>
  </r>
  <r>
    <d v="2025-02-03T00:00:00"/>
    <s v="9888A314"/>
    <n v="2495004"/>
    <s v="DE"/>
    <x v="8"/>
    <s v="30049039"/>
    <n v="36748.04"/>
    <s v="USD"/>
    <n v="1"/>
    <n v="0"/>
    <s v="USD"/>
    <b v="1"/>
    <b v="0"/>
    <x v="2"/>
    <n v="144"/>
  </r>
  <r>
    <d v="2025-02-03T00:00:00"/>
    <s v="1849A539"/>
    <n v="7278771"/>
    <s v="GT"/>
    <x v="7"/>
    <s v="3004902900"/>
    <n v="169064.06"/>
    <s v="USD"/>
    <n v="1"/>
    <n v="0"/>
    <s v="USD"/>
    <b v="1"/>
    <b v="0"/>
    <x v="2"/>
    <n v="145"/>
  </r>
  <r>
    <d v="2025-02-03T00:00:00"/>
    <s v="8330A113"/>
    <n v="2771689"/>
    <s v="PE"/>
    <x v="7"/>
    <s v="3004902900"/>
    <n v="40336.37"/>
    <s v="USD"/>
    <n v="1"/>
    <n v="0"/>
    <s v="USD"/>
    <b v="1"/>
    <b v="0"/>
    <x v="2"/>
    <n v="146"/>
  </r>
  <r>
    <d v="2025-02-03T00:00:00"/>
    <s v="1037A8"/>
    <n v="3852362"/>
    <s v="GT"/>
    <x v="7"/>
    <s v="3004902900"/>
    <n v="22877.42"/>
    <s v="USD"/>
    <n v="1"/>
    <n v="0"/>
    <s v="USD"/>
    <b v="1"/>
    <b v="0"/>
    <x v="2"/>
    <n v="147"/>
  </r>
  <r>
    <d v="2025-05-12T00:00:00"/>
    <s v="9206A399"/>
    <n v="7790566"/>
    <s v="DE"/>
    <x v="6"/>
    <n v="3002150000"/>
    <n v="647753293"/>
    <s v="USD"/>
    <m/>
    <n v="0"/>
    <s v="USD"/>
    <b v="1"/>
    <b v="0"/>
    <x v="1"/>
    <n v="148"/>
  </r>
  <r>
    <d v="2025-02-03T00:00:00"/>
    <s v="2760A670"/>
    <n v="8137179"/>
    <s v="FI"/>
    <x v="5"/>
    <s v="3006600004"/>
    <n v="1089312"/>
    <s v="USD"/>
    <n v="1"/>
    <n v="0"/>
    <s v="USD"/>
    <b v="1"/>
    <b v="0"/>
    <x v="2"/>
    <n v="149"/>
  </r>
  <r>
    <d v="2025-02-03T00:00:00"/>
    <s v="4732A734"/>
    <n v="9222133"/>
    <s v="US"/>
    <x v="5"/>
    <s v="2844420003"/>
    <n v="218484"/>
    <s v="USD"/>
    <n v="1"/>
    <n v="0"/>
    <s v="USD"/>
    <b v="1"/>
    <b v="0"/>
    <x v="2"/>
    <n v="150"/>
  </r>
  <r>
    <d v="2025-02-03T00:00:00"/>
    <s v="5644A401"/>
    <n v="5388875"/>
    <s v="FI"/>
    <x v="5"/>
    <s v="3006600004"/>
    <n v="53088"/>
    <s v="USD"/>
    <n v="1"/>
    <n v="0"/>
    <s v="USD"/>
    <b v="1"/>
    <b v="0"/>
    <x v="2"/>
    <n v="151"/>
  </r>
  <r>
    <d v="2025-02-03T00:00:00"/>
    <s v="9890A389"/>
    <n v="6828798"/>
    <s v="IT"/>
    <x v="6"/>
    <s v="3004909900"/>
    <n v="34644.486"/>
    <s v="USD"/>
    <n v="1"/>
    <n v="3200.8675"/>
    <s v="USD"/>
    <b v="1"/>
    <b v="0"/>
    <x v="2"/>
    <n v="152"/>
  </r>
  <r>
    <d v="2025-02-03T00:00:00"/>
    <s v="3777A839"/>
    <n v="9697745"/>
    <s v="IT"/>
    <x v="6"/>
    <s v="3004909900"/>
    <n v="14460.3072"/>
    <s v="USD"/>
    <n v="1"/>
    <n v="1336.0095"/>
    <s v="USD"/>
    <b v="1"/>
    <b v="0"/>
    <x v="2"/>
    <n v="153"/>
  </r>
  <r>
    <d v="2025-02-27T00:00:00"/>
    <s v="369A228"/>
    <n v="2511057"/>
    <s v="DE"/>
    <x v="1"/>
    <s v="3004904800"/>
    <n v="490714.8292239"/>
    <s v="USD"/>
    <n v="1"/>
    <n v="0"/>
    <s v="USD"/>
    <b v="1"/>
    <b v="0"/>
    <x v="2"/>
    <n v="154"/>
  </r>
  <r>
    <d v="2025-03-21T00:00:00"/>
    <s v="3499A391"/>
    <n v="9812766"/>
    <s v="DE"/>
    <x v="1"/>
    <s v="3004909999"/>
    <n v="479464.6007385432"/>
    <s v="USD"/>
    <n v="1"/>
    <n v="0"/>
    <s v="USD"/>
    <b v="1"/>
    <b v="0"/>
    <x v="2"/>
    <n v="155"/>
  </r>
  <r>
    <d v="2025-06-19T15:16:00"/>
    <s v="2229A674"/>
    <n v="8706301"/>
    <s v="DE"/>
    <x v="1"/>
    <s v="3004909999"/>
    <n v="477425.0233116"/>
    <s v="USD"/>
    <n v="0"/>
    <n v="0"/>
    <s v="USD"/>
    <b v="1"/>
    <b v="0"/>
    <x v="2"/>
    <n v="156"/>
  </r>
  <r>
    <d v="2025-02-03T00:00:00"/>
    <s v="2419A903"/>
    <n v="1772995"/>
    <s v="DE"/>
    <x v="9"/>
    <s v="210690980019"/>
    <n v="90885.14999999999"/>
    <s v="USD"/>
    <n v="1"/>
    <n v="0"/>
    <s v="USD"/>
    <b v="1"/>
    <b v="0"/>
    <x v="2"/>
    <n v="157"/>
  </r>
  <r>
    <d v="2025-02-03T00:00:00"/>
    <s v="7058A486"/>
    <n v="1954214"/>
    <s v="CA"/>
    <x v="9"/>
    <s v="901839000023"/>
    <n v="77.43000000000001"/>
    <s v="USD"/>
    <n v="1"/>
    <n v="0"/>
    <s v="USD"/>
    <b v="1"/>
    <b v="0"/>
    <x v="2"/>
    <n v="158"/>
  </r>
  <r>
    <d v="2025-02-03T00:00:00"/>
    <s v="2645A233"/>
    <n v="2113885"/>
    <s v="CA"/>
    <x v="9"/>
    <s v="901839000023"/>
    <n v="30.97"/>
    <s v="USD"/>
    <n v="1"/>
    <n v="0"/>
    <s v="USD"/>
    <b v="1"/>
    <b v="0"/>
    <x v="2"/>
    <n v="159"/>
  </r>
  <r>
    <d v="2025-02-03T00:00:00"/>
    <s v="786A886"/>
    <n v="2298809"/>
    <s v="US"/>
    <x v="2"/>
    <s v="21069099208"/>
    <n v="118761.621"/>
    <s v="USD"/>
    <n v="1"/>
    <n v="35628.4863"/>
    <s v="USD"/>
    <b v="1"/>
    <b v="0"/>
    <x v="2"/>
    <n v="160"/>
  </r>
  <r>
    <d v="2025-02-03T00:00:00"/>
    <s v="3031A891"/>
    <n v="8986289"/>
    <s v="ID"/>
    <x v="2"/>
    <s v="30045021"/>
    <n v="30650.6176"/>
    <s v="USD"/>
    <n v="1"/>
    <n v="0"/>
    <s v="USD"/>
    <s v="ERROR"/>
    <b v="0"/>
    <x v="0"/>
    <n v="161"/>
  </r>
  <r>
    <d v="2025-02-03T00:00:00"/>
    <s v="5077A979"/>
    <n v="5886747"/>
    <s v="ID"/>
    <x v="10"/>
    <s v="30045021"/>
    <n v="37105.2399861"/>
    <s v="USD"/>
    <n v="2047.52"/>
    <n v="0"/>
    <s v="USD"/>
    <b v="1"/>
    <b v="0"/>
    <x v="2"/>
    <n v="162"/>
  </r>
  <r>
    <d v="2025-02-04T00:00:00"/>
    <s v="8038A503"/>
    <n v="7372668"/>
    <s v="DE"/>
    <x v="3"/>
    <s v="30049079"/>
    <n v="141568.4664"/>
    <s v="USD"/>
    <n v="1"/>
    <n v="0"/>
    <s v="USD"/>
    <b v="1"/>
    <b v="0"/>
    <x v="2"/>
    <n v="163"/>
  </r>
  <r>
    <d v="2025-02-04T00:00:00"/>
    <s v="5467A475"/>
    <n v="662911"/>
    <s v="FR"/>
    <x v="3"/>
    <s v="34013000"/>
    <n v="58984.81200000001"/>
    <s v="USD"/>
    <n v="1"/>
    <n v="9555.5394"/>
    <s v="USD"/>
    <b v="1"/>
    <b v="0"/>
    <x v="2"/>
    <n v="164"/>
  </r>
  <r>
    <d v="2025-02-04T00:00:00"/>
    <s v="5935A184"/>
    <n v="5163669"/>
    <s v="FR"/>
    <x v="3"/>
    <s v="34013000"/>
    <n v="57288.54059999999"/>
    <s v="USD"/>
    <n v="1"/>
    <n v="9280.744199999999"/>
    <s v="USD"/>
    <b v="1"/>
    <b v="0"/>
    <x v="2"/>
    <n v="165"/>
  </r>
  <r>
    <d v="2025-02-04T00:00:00"/>
    <s v="1933A557"/>
    <n v="9189153"/>
    <s v="DE"/>
    <x v="3"/>
    <s v="30063017"/>
    <n v="36183.8844"/>
    <s v="USD"/>
    <n v="1"/>
    <n v="0"/>
    <s v="USD"/>
    <b v="1"/>
    <b v="0"/>
    <x v="2"/>
    <n v="166"/>
  </r>
  <r>
    <d v="2025-02-04T00:00:00"/>
    <s v="8033A482"/>
    <n v="4092378"/>
    <s v="NO"/>
    <x v="3"/>
    <s v="28444200"/>
    <n v="1820.0646"/>
    <s v="USD"/>
    <n v="1"/>
    <n v="0"/>
    <s v="USD"/>
    <b v="1"/>
    <b v="0"/>
    <x v="2"/>
    <n v="167"/>
  </r>
  <r>
    <d v="2025-02-04T00:00:00"/>
    <s v="4982A408"/>
    <n v="9825131"/>
    <s v="US"/>
    <x v="7"/>
    <s v="3001909000"/>
    <n v="67.23999999999999"/>
    <s v="USD"/>
    <n v="1"/>
    <n v="0"/>
    <s v="USD"/>
    <b v="1"/>
    <b v="0"/>
    <x v="2"/>
    <n v="168"/>
  </r>
  <r>
    <d v="2025-02-04T00:00:00"/>
    <s v="898A128"/>
    <n v="5085730"/>
    <s v="US"/>
    <x v="7"/>
    <s v="3001909000"/>
    <n v="41.58"/>
    <s v="USD"/>
    <n v="1"/>
    <n v="0"/>
    <s v="USD"/>
    <b v="1"/>
    <b v="0"/>
    <x v="2"/>
    <n v="169"/>
  </r>
  <r>
    <d v="2025-02-04T00:00:00"/>
    <s v="1291A401"/>
    <n v="9274803"/>
    <s v="US"/>
    <x v="7"/>
    <s v="3001909000"/>
    <n v="37.82"/>
    <s v="USD"/>
    <n v="1"/>
    <n v="0"/>
    <s v="USD"/>
    <b v="1"/>
    <b v="0"/>
    <x v="2"/>
    <n v="170"/>
  </r>
  <r>
    <d v="2025-02-04T00:00:00"/>
    <s v="7859A666"/>
    <n v="6369382"/>
    <s v="US"/>
    <x v="7"/>
    <s v="3001909000"/>
    <n v="37.64"/>
    <s v="USD"/>
    <n v="1"/>
    <n v="0"/>
    <s v="USD"/>
    <b v="1"/>
    <b v="0"/>
    <x v="2"/>
    <n v="171"/>
  </r>
  <r>
    <d v="2025-02-04T00:00:00"/>
    <s v="3447A380"/>
    <n v="3942073"/>
    <s v="US"/>
    <x v="7"/>
    <s v="3001909000"/>
    <n v="37.62"/>
    <s v="USD"/>
    <n v="1"/>
    <n v="0"/>
    <s v="USD"/>
    <b v="1"/>
    <b v="0"/>
    <x v="2"/>
    <n v="172"/>
  </r>
  <r>
    <d v="2025-02-04T00:00:00"/>
    <s v="4735A384"/>
    <n v="3144014"/>
    <s v="US"/>
    <x v="7"/>
    <s v="3001909000"/>
    <n v="34.59"/>
    <s v="USD"/>
    <n v="1"/>
    <n v="0"/>
    <s v="USD"/>
    <b v="1"/>
    <b v="0"/>
    <x v="2"/>
    <n v="173"/>
  </r>
  <r>
    <d v="2025-02-04T00:00:00"/>
    <s v="4472A490"/>
    <n v="7806251"/>
    <s v="US"/>
    <x v="7"/>
    <s v="3001909000"/>
    <n v="32.2"/>
    <s v="USD"/>
    <n v="1"/>
    <n v="0"/>
    <s v="USD"/>
    <b v="1"/>
    <b v="0"/>
    <x v="2"/>
    <n v="174"/>
  </r>
  <r>
    <d v="2025-02-04T00:00:00"/>
    <s v="2697A447"/>
    <n v="2673630"/>
    <s v="US"/>
    <x v="7"/>
    <s v="3001909000"/>
    <n v="28.16"/>
    <s v="USD"/>
    <n v="1"/>
    <n v="0"/>
    <s v="USD"/>
    <b v="1"/>
    <b v="0"/>
    <x v="2"/>
    <n v="175"/>
  </r>
  <r>
    <d v="2025-02-04T00:00:00"/>
    <s v="7397A601"/>
    <n v="7401368"/>
    <s v="US"/>
    <x v="7"/>
    <s v="3001909000"/>
    <n v="28.16"/>
    <s v="USD"/>
    <n v="1"/>
    <n v="0"/>
    <s v="USD"/>
    <b v="1"/>
    <b v="0"/>
    <x v="2"/>
    <n v="176"/>
  </r>
  <r>
    <d v="2025-02-04T00:00:00"/>
    <s v="4388A645"/>
    <n v="6364640"/>
    <s v="US"/>
    <x v="7"/>
    <s v="3001909000"/>
    <n v="25.46"/>
    <s v="USD"/>
    <n v="1"/>
    <n v="0"/>
    <s v="USD"/>
    <b v="1"/>
    <b v="0"/>
    <x v="2"/>
    <n v="177"/>
  </r>
  <r>
    <d v="2025-02-04T00:00:00"/>
    <s v="9283A267"/>
    <n v="1899321"/>
    <s v="US"/>
    <x v="7"/>
    <s v="3001909000"/>
    <n v="25.44"/>
    <s v="USD"/>
    <n v="1"/>
    <n v="0"/>
    <s v="USD"/>
    <b v="1"/>
    <b v="0"/>
    <x v="2"/>
    <n v="178"/>
  </r>
  <r>
    <d v="2025-02-04T00:00:00"/>
    <s v="6436A496"/>
    <n v="538519"/>
    <s v="US"/>
    <x v="7"/>
    <s v="3001909000"/>
    <n v="23.88"/>
    <s v="USD"/>
    <n v="1"/>
    <n v="0"/>
    <s v="USD"/>
    <b v="1"/>
    <b v="0"/>
    <x v="2"/>
    <n v="179"/>
  </r>
  <r>
    <d v="2025-02-04T00:00:00"/>
    <s v="8498A132"/>
    <n v="3514970"/>
    <s v="US"/>
    <x v="7"/>
    <s v="3001909000"/>
    <n v="21.39"/>
    <s v="USD"/>
    <n v="1"/>
    <n v="0"/>
    <s v="USD"/>
    <b v="1"/>
    <b v="0"/>
    <x v="2"/>
    <n v="180"/>
  </r>
  <r>
    <d v="2025-02-04T00:00:00"/>
    <s v="8862A833"/>
    <n v="7238629"/>
    <s v="US"/>
    <x v="7"/>
    <s v="3001909000"/>
    <n v="21.25"/>
    <s v="USD"/>
    <n v="1"/>
    <n v="0"/>
    <s v="USD"/>
    <b v="1"/>
    <b v="0"/>
    <x v="2"/>
    <n v="181"/>
  </r>
  <r>
    <d v="2025-02-04T00:00:00"/>
    <s v="7008A135"/>
    <n v="6497947"/>
    <s v="US"/>
    <x v="7"/>
    <s v="3001909000"/>
    <n v="14.65"/>
    <s v="USD"/>
    <n v="1"/>
    <n v="0"/>
    <s v="USD"/>
    <b v="1"/>
    <b v="0"/>
    <x v="2"/>
    <n v="182"/>
  </r>
  <r>
    <d v="2025-02-04T00:00:00"/>
    <s v="8658A324"/>
    <n v="4129903"/>
    <s v="US"/>
    <x v="7"/>
    <s v="3001909000"/>
    <n v="11.69"/>
    <s v="USD"/>
    <n v="1"/>
    <n v="0"/>
    <s v="USD"/>
    <b v="1"/>
    <b v="0"/>
    <x v="2"/>
    <n v="183"/>
  </r>
  <r>
    <d v="2025-02-04T00:00:00"/>
    <s v="850A590"/>
    <n v="6128668"/>
    <s v="US"/>
    <x v="7"/>
    <s v="3001909000"/>
    <n v="7.08"/>
    <s v="USD"/>
    <n v="1"/>
    <n v="0"/>
    <s v="USD"/>
    <b v="1"/>
    <b v="0"/>
    <x v="2"/>
    <n v="184"/>
  </r>
  <r>
    <d v="2025-02-04T00:00:00"/>
    <s v="1101A907"/>
    <n v="2650257"/>
    <s v="US"/>
    <x v="7"/>
    <s v="3001909000"/>
    <n v="7.07"/>
    <s v="USD"/>
    <n v="1"/>
    <n v="0"/>
    <s v="USD"/>
    <b v="1"/>
    <b v="0"/>
    <x v="2"/>
    <n v="185"/>
  </r>
  <r>
    <d v="2025-02-04T00:00:00"/>
    <s v="1928A297"/>
    <n v="1400108"/>
    <s v="US"/>
    <x v="7"/>
    <s v="3001909000"/>
    <n v="6.62"/>
    <s v="USD"/>
    <n v="1"/>
    <n v="0"/>
    <s v="USD"/>
    <b v="1"/>
    <b v="0"/>
    <x v="2"/>
    <n v="186"/>
  </r>
  <r>
    <d v="2025-02-04T00:00:00"/>
    <s v="4172A373"/>
    <n v="7473125"/>
    <s v="US"/>
    <x v="7"/>
    <s v="3001909000"/>
    <n v="6.48"/>
    <s v="USD"/>
    <n v="1"/>
    <n v="0"/>
    <s v="USD"/>
    <b v="1"/>
    <b v="0"/>
    <x v="2"/>
    <n v="187"/>
  </r>
  <r>
    <d v="2025-02-04T00:00:00"/>
    <s v="9274A36"/>
    <n v="5637864"/>
    <s v="US"/>
    <x v="7"/>
    <s v="3001909000"/>
    <n v="6.47"/>
    <s v="USD"/>
    <n v="1"/>
    <n v="0"/>
    <s v="USD"/>
    <b v="1"/>
    <b v="0"/>
    <x v="2"/>
    <n v="188"/>
  </r>
  <r>
    <d v="2025-02-04T00:00:00"/>
    <s v="2065A771"/>
    <n v="2915772"/>
    <s v="US"/>
    <x v="7"/>
    <s v="3001909000"/>
    <n v="6.44"/>
    <s v="USD"/>
    <n v="1"/>
    <n v="0"/>
    <s v="USD"/>
    <b v="1"/>
    <b v="0"/>
    <x v="2"/>
    <n v="189"/>
  </r>
  <r>
    <d v="2025-02-04T00:00:00"/>
    <s v="4939A248"/>
    <n v="7704592"/>
    <s v="DE"/>
    <x v="5"/>
    <s v="3004390001"/>
    <n v="541940"/>
    <s v="USD"/>
    <n v="1"/>
    <n v="0"/>
    <s v="USD"/>
    <b v="1"/>
    <b v="0"/>
    <x v="2"/>
    <n v="190"/>
  </r>
  <r>
    <d v="2025-07-02T15:20:00"/>
    <s v="1736A353"/>
    <n v="9013383"/>
    <s v="AR"/>
    <x v="1"/>
    <n v="3004509999"/>
    <n v="474583.7388689264"/>
    <s v="USD"/>
    <m/>
    <n v="0"/>
    <s v="USD"/>
    <b v="1"/>
    <b v="0"/>
    <x v="2"/>
    <n v="191"/>
  </r>
  <r>
    <d v="2025-02-04T00:00:00"/>
    <s v="9304A391"/>
    <n v="7678906"/>
    <s v="FI"/>
    <x v="9"/>
    <s v="300490000011"/>
    <n v="409290.11"/>
    <s v="USD"/>
    <n v="1"/>
    <n v="0"/>
    <s v="USD"/>
    <b v="1"/>
    <b v="0"/>
    <x v="2"/>
    <n v="192"/>
  </r>
  <r>
    <d v="2025-02-04T00:00:00"/>
    <s v="8507A656"/>
    <n v="9735283"/>
    <s v="DE"/>
    <x v="9"/>
    <s v="300439000000"/>
    <n v="211335.73"/>
    <s v="USD"/>
    <n v="1"/>
    <n v="0"/>
    <s v="USD"/>
    <b v="1"/>
    <b v="0"/>
    <x v="2"/>
    <n v="193"/>
  </r>
  <r>
    <d v="2025-02-04T00:00:00"/>
    <s v="5013A252"/>
    <n v="5454807"/>
    <s v="DE"/>
    <x v="9"/>
    <s v="300439000000"/>
    <n v="165649.78"/>
    <s v="USD"/>
    <n v="1"/>
    <n v="0"/>
    <s v="USD"/>
    <b v="1"/>
    <b v="0"/>
    <x v="2"/>
    <n v="194"/>
  </r>
  <r>
    <d v="2025-02-04T00:00:00"/>
    <s v="2021A365"/>
    <n v="2048971"/>
    <s v="GR"/>
    <x v="9"/>
    <s v="330499009000"/>
    <n v="89295.44"/>
    <s v="USD"/>
    <n v="1"/>
    <n v="0"/>
    <s v="USD"/>
    <b v="1"/>
    <b v="0"/>
    <x v="2"/>
    <n v="195"/>
  </r>
  <r>
    <d v="2025-02-04T00:00:00"/>
    <s v="5125A758"/>
    <n v="2356999"/>
    <s v="GR"/>
    <x v="9"/>
    <s v="330499009000"/>
    <n v="44490.91"/>
    <s v="USD"/>
    <n v="1"/>
    <n v="0"/>
    <s v="USD"/>
    <b v="1"/>
    <b v="0"/>
    <x v="2"/>
    <n v="196"/>
  </r>
  <r>
    <d v="2025-02-04T00:00:00"/>
    <s v="455A299"/>
    <n v="1203355"/>
    <s v="DE"/>
    <x v="9"/>
    <s v="300490000019"/>
    <n v="8247.91"/>
    <s v="USD"/>
    <n v="1"/>
    <n v="0"/>
    <s v="USD"/>
    <b v="1"/>
    <b v="0"/>
    <x v="2"/>
    <n v="197"/>
  </r>
  <r>
    <d v="2025-02-04T00:00:00"/>
    <s v="9919A78"/>
    <n v="9710492"/>
    <s v="GR"/>
    <x v="9"/>
    <s v="340130000000"/>
    <n v="7683.72"/>
    <s v="USD"/>
    <n v="1"/>
    <n v="0"/>
    <s v="USD"/>
    <b v="1"/>
    <b v="0"/>
    <x v="2"/>
    <n v="198"/>
  </r>
  <r>
    <d v="2025-02-04T00:00:00"/>
    <s v="7408A649"/>
    <n v="6087299"/>
    <s v="US"/>
    <x v="9"/>
    <s v="491199009000"/>
    <n v="136.79"/>
    <s v="USD"/>
    <n v="1"/>
    <n v="0"/>
    <s v="USD"/>
    <b v="1"/>
    <b v="0"/>
    <x v="2"/>
    <n v="199"/>
  </r>
  <r>
    <d v="2025-02-04T00:00:00"/>
    <s v="4553A166"/>
    <n v="2806910"/>
    <s v="US"/>
    <x v="9"/>
    <s v="300439000000"/>
    <n v="133.07"/>
    <s v="USD"/>
    <n v="1"/>
    <n v="0"/>
    <s v="USD"/>
    <b v="1"/>
    <b v="0"/>
    <x v="2"/>
    <n v="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5:O11" firstHeaderRow="1" firstDataRow="2" firstDataCol="1"/>
  <pivotFields count="15">
    <pivotField showAll="0"/>
    <pivotField showAll="0"/>
    <pivotField showAll="0"/>
    <pivotField showAll="0"/>
    <pivotField axis="axisCol" dataField="1" showAll="0">
      <items count="30">
        <item m="1" x="17"/>
        <item m="1" x="19"/>
        <item m="1" x="27"/>
        <item x="3"/>
        <item m="1" x="11"/>
        <item m="1" x="23"/>
        <item x="8"/>
        <item x="4"/>
        <item x="7"/>
        <item m="1" x="13"/>
        <item m="1" x="14"/>
        <item m="1" x="18"/>
        <item x="0"/>
        <item m="1" x="26"/>
        <item x="5"/>
        <item x="6"/>
        <item m="1" x="25"/>
        <item x="1"/>
        <item m="1" x="28"/>
        <item m="1" x="15"/>
        <item m="1" x="16"/>
        <item m="1" x="12"/>
        <item x="9"/>
        <item x="2"/>
        <item m="1" x="24"/>
        <item x="10"/>
        <item m="1" x="20"/>
        <item m="1" x="21"/>
        <item m="1" x="2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2"/>
        <item m="1" x="8"/>
        <item m="1" x="5"/>
        <item x="1"/>
        <item m="1" x="7"/>
        <item m="1" x="9"/>
        <item x="3"/>
        <item m="1" x="10"/>
        <item m="1" x="6"/>
        <item m="1" x="4"/>
        <item m="1" x="11"/>
        <item x="0"/>
        <item t="default"/>
      </items>
    </pivotField>
    <pivotField showAll="0"/>
  </pivotFields>
  <rowFields count="1">
    <field x="13"/>
  </rowFields>
  <rowItems count="5">
    <i>
      <x/>
    </i>
    <i>
      <x v="3"/>
    </i>
    <i>
      <x v="6"/>
    </i>
    <i>
      <x v="11"/>
    </i>
    <i t="grand">
      <x/>
    </i>
  </rowItems>
  <colFields count="1">
    <field x="4"/>
  </colFields>
  <colItems count="12">
    <i>
      <x v="3"/>
    </i>
    <i>
      <x v="6"/>
    </i>
    <i>
      <x v="7"/>
    </i>
    <i>
      <x v="8"/>
    </i>
    <i>
      <x v="12"/>
    </i>
    <i>
      <x v="14"/>
    </i>
    <i>
      <x v="15"/>
    </i>
    <i>
      <x v="17"/>
    </i>
    <i>
      <x v="22"/>
    </i>
    <i>
      <x v="23"/>
    </i>
    <i>
      <x v="25"/>
    </i>
    <i t="grand">
      <x/>
    </i>
  </colItems>
  <dataFields count="1">
    <dataField name="Count of COI" fld="4" subtotal="count" showDataAs="percentOfRow" baseField="13" baseItem="0" numFmtId="1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7:D42" firstHeaderRow="1" firstDataRow="1" firstDataCol="1"/>
  <pivotFields count="15">
    <pivotField numFmtId="14" showAll="0"/>
    <pivotField showAll="0"/>
    <pivotField showAll="0"/>
    <pivotField showAll="0"/>
    <pivotField dataField="1" showAll="0">
      <items count="30">
        <item m="1" x="25"/>
        <item m="1" x="17"/>
        <item m="1" x="19"/>
        <item m="1" x="22"/>
        <item m="1" x="27"/>
        <item x="3"/>
        <item m="1" x="11"/>
        <item m="1" x="23"/>
        <item x="8"/>
        <item x="4"/>
        <item x="7"/>
        <item m="1" x="13"/>
        <item m="1" x="14"/>
        <item m="1" x="18"/>
        <item x="0"/>
        <item m="1" x="21"/>
        <item m="1" x="26"/>
        <item x="5"/>
        <item x="6"/>
        <item x="1"/>
        <item m="1" x="20"/>
        <item m="1" x="28"/>
        <item m="1" x="15"/>
        <item m="1" x="16"/>
        <item m="1" x="12"/>
        <item x="9"/>
        <item x="2"/>
        <item m="1" x="24"/>
        <item x="10"/>
        <item t="default"/>
      </items>
    </pivotField>
    <pivotField showAll="0"/>
    <pivotField numFmtId="165"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2"/>
        <item m="1" x="8"/>
        <item x="0"/>
        <item m="1" x="5"/>
        <item x="1"/>
        <item m="1" x="7"/>
        <item m="1" x="9"/>
        <item x="3"/>
        <item m="1" x="10"/>
        <item m="1" x="6"/>
        <item m="1" x="4"/>
        <item m="1" x="11"/>
        <item t="default"/>
      </items>
    </pivotField>
    <pivotField showAll="0"/>
  </pivotFields>
  <rowFields count="1">
    <field x="13"/>
  </rowFields>
  <rowItems count="5">
    <i>
      <x/>
    </i>
    <i>
      <x v="2"/>
    </i>
    <i>
      <x v="4"/>
    </i>
    <i>
      <x v="7"/>
    </i>
    <i t="grand">
      <x/>
    </i>
  </rowItems>
  <colItems count="1">
    <i/>
  </colItems>
  <dataFields count="1">
    <dataField name="Count of COI" fld="4" subtotal="count" showDataAs="percentOfTotal" baseField="13" baseItem="0" numFmtId="1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nsactions" displayName="Transactions" ref="A1:O213" totalsRowShown="0" headerRowDxfId="19" headerRowBorderDxfId="18" tableBorderDxfId="17">
  <autoFilter ref="A1:O213" xr:uid="{00000000-0009-0000-0100-000001000000}"/>
  <sortState xmlns:xlrd2="http://schemas.microsoft.com/office/spreadsheetml/2017/richdata2" ref="A2:O200">
    <sortCondition ref="A1:A200"/>
  </sortState>
  <tableColumns count="15">
    <tableColumn id="1" xr3:uid="{00000000-0010-0000-0000-000001000000}" name="Date" dataDxfId="16" dataCellStyle="Normal 3"/>
    <tableColumn id="2" xr3:uid="{00000000-0010-0000-0000-000002000000}" name="Invoice Number" dataDxfId="15" dataCellStyle="Normal 3"/>
    <tableColumn id="3" xr3:uid="{00000000-0010-0000-0000-000003000000}" name="Material Number" dataDxfId="14" dataCellStyle="Normal 3"/>
    <tableColumn id="4" xr3:uid="{00000000-0010-0000-0000-000004000000}" name="COO" dataDxfId="13" dataCellStyle="Normal 2"/>
    <tableColumn id="5" xr3:uid="{00000000-0010-0000-0000-000005000000}" name="COI" dataDxfId="12" dataCellStyle="Normal 2"/>
    <tableColumn id="6" xr3:uid="{00000000-0010-0000-0000-000006000000}" name="HS Code" dataDxfId="11" dataCellStyle="Normal 2"/>
    <tableColumn id="7" xr3:uid="{00000000-0010-0000-0000-000007000000}" name="Customs Value" dataDxfId="10" dataCellStyle="Normal 2"/>
    <tableColumn id="8" xr3:uid="{00000000-0010-0000-0000-000008000000}" name="CV Currency"/>
    <tableColumn id="9" xr3:uid="{00000000-0010-0000-0000-000009000000}" name="Weight" dataDxfId="9"/>
    <tableColumn id="10" xr3:uid="{00000000-0010-0000-0000-00000A000000}" name="Duty Paid" dataDxfId="8" dataCellStyle="Normal 2"/>
    <tableColumn id="11" xr3:uid="{00000000-0010-0000-0000-00000B000000}" name="DP Currency"/>
    <tableColumn id="26" xr3:uid="{00000000-0010-0000-0000-00001A000000}" name="Analyzed"/>
    <tableColumn id="12" xr3:uid="{00000000-0010-0000-0000-00000C000000}" name="Duplicate Check" dataDxfId="7">
      <calculatedColumnFormula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calculatedColumnFormula>
    </tableColumn>
    <tableColumn id="13" xr3:uid="{00000000-0010-0000-0000-00000D000000}" name="Error" dataDxfId="6">
      <calculatedColumnFormula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calculatedColumnFormula>
    </tableColumn>
    <tableColumn id="14" xr3:uid="{00000000-0010-0000-0000-00000E000000}" name="ID">
      <calculatedColumnFormula>ROW()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O42"/>
  <sheetViews>
    <sheetView showGridLines="0" zoomScale="74" workbookViewId="0">
      <selection activeCell="C46" sqref="C46"/>
    </sheetView>
  </sheetViews>
  <sheetFormatPr defaultRowHeight="14.5" x14ac:dyDescent="0.35"/>
  <cols>
    <col min="3" max="3" width="17.453125" bestFit="1" customWidth="1"/>
    <col min="4" max="4" width="16" bestFit="1" customWidth="1"/>
    <col min="5" max="6" width="6.26953125" bestFit="1" customWidth="1"/>
    <col min="7" max="7" width="7.36328125" bestFit="1" customWidth="1"/>
    <col min="8" max="8" width="7.26953125" bestFit="1" customWidth="1"/>
    <col min="9" max="10" width="6.26953125" bestFit="1" customWidth="1"/>
    <col min="11" max="11" width="7.36328125" bestFit="1" customWidth="1"/>
    <col min="12" max="12" width="6.26953125" bestFit="1" customWidth="1"/>
    <col min="13" max="13" width="7.36328125" bestFit="1" customWidth="1"/>
    <col min="14" max="14" width="6.26953125" bestFit="1" customWidth="1"/>
    <col min="15" max="15" width="10.54296875" bestFit="1" customWidth="1"/>
    <col min="16" max="35" width="9.453125" bestFit="1" customWidth="1"/>
    <col min="36" max="44" width="8.453125" bestFit="1" customWidth="1"/>
    <col min="45" max="63" width="9.453125" bestFit="1" customWidth="1"/>
    <col min="64" max="72" width="8.453125" bestFit="1" customWidth="1"/>
    <col min="73" max="92" width="9.453125" bestFit="1" customWidth="1"/>
    <col min="93" max="100" width="8.453125" bestFit="1" customWidth="1"/>
    <col min="101" max="121" width="9.453125" bestFit="1" customWidth="1"/>
    <col min="122" max="130" width="8.453125" bestFit="1" customWidth="1"/>
    <col min="131" max="152" width="9.453125" bestFit="1" customWidth="1"/>
    <col min="153" max="161" width="8.453125" bestFit="1" customWidth="1"/>
    <col min="162" max="180" width="9.453125" bestFit="1" customWidth="1"/>
    <col min="181" max="189" width="8.453125" bestFit="1" customWidth="1"/>
    <col min="190" max="211" width="9.453125" bestFit="1" customWidth="1"/>
    <col min="212" max="220" width="8.453125" bestFit="1" customWidth="1"/>
    <col min="221" max="242" width="9.453125" bestFit="1" customWidth="1"/>
    <col min="243" max="251" width="8.453125" bestFit="1" customWidth="1"/>
    <col min="252" max="281" width="9.453125" bestFit="1" customWidth="1"/>
    <col min="282" max="303" width="10.453125" bestFit="1" customWidth="1"/>
    <col min="304" max="312" width="9.453125" bestFit="1" customWidth="1"/>
    <col min="313" max="333" width="10.453125" bestFit="1" customWidth="1"/>
    <col min="334" max="342" width="9.453125" bestFit="1" customWidth="1"/>
    <col min="343" max="364" width="10.453125" bestFit="1" customWidth="1"/>
    <col min="365" max="373" width="8.453125" bestFit="1" customWidth="1"/>
    <col min="374" max="395" width="9.453125" bestFit="1" customWidth="1"/>
    <col min="396" max="404" width="8.453125" bestFit="1" customWidth="1"/>
    <col min="405" max="407" width="9.453125" bestFit="1" customWidth="1"/>
    <col min="408" max="408" width="14.54296875" bestFit="1" customWidth="1"/>
    <col min="409" max="412" width="9.453125" bestFit="1" customWidth="1"/>
    <col min="413" max="413" width="13.54296875" bestFit="1" customWidth="1"/>
    <col min="414" max="423" width="9.453125" bestFit="1" customWidth="1"/>
    <col min="424" max="426" width="13.54296875" bestFit="1" customWidth="1"/>
    <col min="427" max="427" width="14.54296875" bestFit="1" customWidth="1"/>
    <col min="428" max="429" width="9.453125" bestFit="1" customWidth="1"/>
    <col min="430" max="438" width="8.453125" bestFit="1" customWidth="1"/>
    <col min="439" max="442" width="9.453125" bestFit="1" customWidth="1"/>
    <col min="443" max="443" width="14.54296875" bestFit="1" customWidth="1"/>
    <col min="444" max="451" width="9.453125" bestFit="1" customWidth="1"/>
    <col min="452" max="452" width="14.54296875" bestFit="1" customWidth="1"/>
    <col min="453" max="453" width="9.453125" bestFit="1" customWidth="1"/>
    <col min="454" max="454" width="13.54296875" bestFit="1" customWidth="1"/>
    <col min="455" max="455" width="14.54296875" bestFit="1" customWidth="1"/>
    <col min="456" max="457" width="9.453125" bestFit="1" customWidth="1"/>
    <col min="458" max="459" width="14.54296875" bestFit="1" customWidth="1"/>
    <col min="460" max="461" width="9.453125" bestFit="1" customWidth="1"/>
    <col min="462" max="465" width="13.54296875" bestFit="1" customWidth="1"/>
    <col min="466" max="467" width="14.54296875" bestFit="1" customWidth="1"/>
    <col min="468" max="469" width="9.453125" bestFit="1" customWidth="1"/>
    <col min="470" max="470" width="13.54296875" bestFit="1" customWidth="1"/>
    <col min="471" max="471" width="14.54296875" bestFit="1" customWidth="1"/>
    <col min="472" max="473" width="9.453125" bestFit="1" customWidth="1"/>
    <col min="474" max="474" width="14.54296875" bestFit="1" customWidth="1"/>
    <col min="475" max="475" width="9.453125" bestFit="1" customWidth="1"/>
    <col min="476" max="476" width="14.54296875" bestFit="1" customWidth="1"/>
    <col min="477" max="478" width="8.453125" bestFit="1" customWidth="1"/>
    <col min="479" max="479" width="12.453125" bestFit="1" customWidth="1"/>
    <col min="480" max="481" width="13.54296875" bestFit="1" customWidth="1"/>
    <col min="482" max="483" width="8.453125" bestFit="1" customWidth="1"/>
    <col min="484" max="486" width="12.453125" bestFit="1" customWidth="1"/>
    <col min="487" max="494" width="13.54296875" bestFit="1" customWidth="1"/>
    <col min="495" max="497" width="8.453125" bestFit="1" customWidth="1"/>
    <col min="498" max="498" width="13.54296875" bestFit="1" customWidth="1"/>
    <col min="499" max="499" width="8.453125" bestFit="1" customWidth="1"/>
    <col min="500" max="504" width="13.54296875" bestFit="1" customWidth="1"/>
    <col min="505" max="505" width="8.453125" bestFit="1" customWidth="1"/>
    <col min="506" max="508" width="13.54296875" bestFit="1" customWidth="1"/>
    <col min="509" max="509" width="9.453125" bestFit="1" customWidth="1"/>
    <col min="510" max="511" width="13.54296875" bestFit="1" customWidth="1"/>
    <col min="512" max="514" width="14.54296875" bestFit="1" customWidth="1"/>
    <col min="515" max="515" width="9.453125" bestFit="1" customWidth="1"/>
    <col min="516" max="517" width="13.54296875" bestFit="1" customWidth="1"/>
    <col min="518" max="521" width="14.54296875" bestFit="1" customWidth="1"/>
    <col min="522" max="522" width="9.453125" bestFit="1" customWidth="1"/>
    <col min="523" max="523" width="13.54296875" bestFit="1" customWidth="1"/>
    <col min="524" max="526" width="14.54296875" bestFit="1" customWidth="1"/>
    <col min="527" max="527" width="9.453125" bestFit="1" customWidth="1"/>
    <col min="528" max="528" width="14.54296875" bestFit="1" customWidth="1"/>
    <col min="529" max="529" width="9.453125" bestFit="1" customWidth="1"/>
    <col min="530" max="531" width="14.54296875" bestFit="1" customWidth="1"/>
    <col min="532" max="532" width="9.453125" bestFit="1" customWidth="1"/>
    <col min="533" max="533" width="14.54296875" bestFit="1" customWidth="1"/>
    <col min="534" max="534" width="9.453125" bestFit="1" customWidth="1"/>
    <col min="535" max="539" width="13.54296875" bestFit="1" customWidth="1"/>
    <col min="540" max="547" width="14.54296875" bestFit="1" customWidth="1"/>
    <col min="548" max="549" width="9.453125" bestFit="1" customWidth="1"/>
    <col min="550" max="550" width="13.54296875" bestFit="1" customWidth="1"/>
    <col min="551" max="553" width="14.54296875" bestFit="1" customWidth="1"/>
    <col min="554" max="555" width="9.453125" bestFit="1" customWidth="1"/>
    <col min="556" max="560" width="14.54296875" bestFit="1" customWidth="1"/>
    <col min="561" max="561" width="9.453125" bestFit="1" customWidth="1"/>
    <col min="562" max="563" width="14.54296875" bestFit="1" customWidth="1"/>
    <col min="564" max="564" width="9.453125" bestFit="1" customWidth="1"/>
    <col min="565" max="566" width="14.54296875" bestFit="1" customWidth="1"/>
    <col min="567" max="567" width="9.453125" bestFit="1" customWidth="1"/>
    <col min="568" max="569" width="13.54296875" bestFit="1" customWidth="1"/>
    <col min="570" max="571" width="14.54296875" bestFit="1" customWidth="1"/>
    <col min="572" max="572" width="9.453125" bestFit="1" customWidth="1"/>
    <col min="573" max="573" width="13.54296875" bestFit="1" customWidth="1"/>
    <col min="574" max="578" width="14.54296875" bestFit="1" customWidth="1"/>
    <col min="579" max="580" width="9.453125" bestFit="1" customWidth="1"/>
    <col min="581" max="587" width="14.54296875" bestFit="1" customWidth="1"/>
    <col min="588" max="588" width="9.453125" bestFit="1" customWidth="1"/>
    <col min="589" max="589" width="13.54296875" bestFit="1" customWidth="1"/>
    <col min="590" max="591" width="14.54296875" bestFit="1" customWidth="1"/>
    <col min="592" max="592" width="9.453125" bestFit="1" customWidth="1"/>
    <col min="593" max="593" width="13.54296875" bestFit="1" customWidth="1"/>
    <col min="594" max="594" width="9.453125" bestFit="1" customWidth="1"/>
    <col min="595" max="595" width="13.54296875" bestFit="1" customWidth="1"/>
    <col min="596" max="602" width="14.54296875" bestFit="1" customWidth="1"/>
    <col min="603" max="603" width="8.453125" bestFit="1" customWidth="1"/>
    <col min="604" max="604" width="12.453125" bestFit="1" customWidth="1"/>
    <col min="605" max="607" width="13.54296875" bestFit="1" customWidth="1"/>
    <col min="608" max="608" width="8.453125" bestFit="1" customWidth="1"/>
    <col min="609" max="611" width="13.54296875" bestFit="1" customWidth="1"/>
    <col min="612" max="613" width="8.453125" bestFit="1" customWidth="1"/>
    <col min="614" max="614" width="12.453125" bestFit="1" customWidth="1"/>
    <col min="615" max="615" width="8.453125" bestFit="1" customWidth="1"/>
    <col min="616" max="616" width="13.54296875" bestFit="1" customWidth="1"/>
    <col min="617" max="617" width="8.453125" bestFit="1" customWidth="1"/>
    <col min="618" max="618" width="13.54296875" bestFit="1" customWidth="1"/>
    <col min="619" max="619" width="8.453125" bestFit="1" customWidth="1"/>
    <col min="620" max="621" width="12.453125" bestFit="1" customWidth="1"/>
    <col min="622" max="622" width="13.54296875" bestFit="1" customWidth="1"/>
    <col min="623" max="623" width="8.453125" bestFit="1" customWidth="1"/>
    <col min="624" max="625" width="13.54296875" bestFit="1" customWidth="1"/>
    <col min="626" max="626" width="8.453125" bestFit="1" customWidth="1"/>
    <col min="627" max="627" width="13.54296875" bestFit="1" customWidth="1"/>
    <col min="628" max="628" width="9.453125" bestFit="1" customWidth="1"/>
    <col min="629" max="629" width="14.54296875" bestFit="1" customWidth="1"/>
    <col min="630" max="630" width="9.453125" bestFit="1" customWidth="1"/>
    <col min="631" max="631" width="14.54296875" bestFit="1" customWidth="1"/>
    <col min="632" max="632" width="9.453125" bestFit="1" customWidth="1"/>
    <col min="633" max="635" width="13.54296875" bestFit="1" customWidth="1"/>
    <col min="636" max="643" width="14.54296875" bestFit="1" customWidth="1"/>
    <col min="644" max="644" width="9.453125" bestFit="1" customWidth="1"/>
    <col min="645" max="645" width="13.54296875" bestFit="1" customWidth="1"/>
    <col min="646" max="646" width="14.54296875" bestFit="1" customWidth="1"/>
    <col min="647" max="647" width="9.453125" bestFit="1" customWidth="1"/>
    <col min="648" max="650" width="14.54296875" bestFit="1" customWidth="1"/>
    <col min="651" max="651" width="9.453125" bestFit="1" customWidth="1"/>
    <col min="652" max="653" width="14.54296875" bestFit="1" customWidth="1"/>
    <col min="654" max="654" width="9.453125" bestFit="1" customWidth="1"/>
    <col min="655" max="658" width="14.54296875" bestFit="1" customWidth="1"/>
    <col min="659" max="660" width="9.453125" bestFit="1" customWidth="1"/>
    <col min="661" max="661" width="13.54296875" bestFit="1" customWidth="1"/>
    <col min="662" max="666" width="14.54296875" bestFit="1" customWidth="1"/>
    <col min="667" max="667" width="9.453125" bestFit="1" customWidth="1"/>
    <col min="668" max="668" width="13.54296875" bestFit="1" customWidth="1"/>
    <col min="669" max="670" width="14.54296875" bestFit="1" customWidth="1"/>
    <col min="671" max="671" width="9.453125" bestFit="1" customWidth="1"/>
    <col min="672" max="672" width="13.54296875" bestFit="1" customWidth="1"/>
    <col min="673" max="678" width="14.54296875" bestFit="1" customWidth="1"/>
    <col min="679" max="679" width="9.453125" bestFit="1" customWidth="1"/>
    <col min="680" max="681" width="13.54296875" bestFit="1" customWidth="1"/>
    <col min="682" max="685" width="14.54296875" bestFit="1" customWidth="1"/>
    <col min="686" max="687" width="9.453125" bestFit="1" customWidth="1"/>
    <col min="688" max="692" width="14.54296875" bestFit="1" customWidth="1"/>
    <col min="693" max="693" width="9.453125" bestFit="1" customWidth="1"/>
    <col min="694" max="697" width="14.54296875" bestFit="1" customWidth="1"/>
    <col min="698" max="699" width="9.453125" bestFit="1" customWidth="1"/>
    <col min="700" max="706" width="14.54296875" bestFit="1" customWidth="1"/>
    <col min="707" max="707" width="9.453125" bestFit="1" customWidth="1"/>
    <col min="708" max="711" width="14.54296875" bestFit="1" customWidth="1"/>
    <col min="712" max="714" width="9.453125" bestFit="1" customWidth="1"/>
    <col min="715" max="718" width="14.54296875" bestFit="1" customWidth="1"/>
    <col min="719" max="719" width="9.453125" bestFit="1" customWidth="1"/>
    <col min="720" max="720" width="8.453125" bestFit="1" customWidth="1"/>
    <col min="721" max="721" width="12.453125" bestFit="1" customWidth="1"/>
    <col min="722" max="722" width="8.453125" bestFit="1" customWidth="1"/>
    <col min="723" max="723" width="12.453125" bestFit="1" customWidth="1"/>
    <col min="724" max="753" width="13.54296875" bestFit="1" customWidth="1"/>
    <col min="754" max="754" width="8.453125" bestFit="1" customWidth="1"/>
    <col min="755" max="758" width="12.453125" bestFit="1" customWidth="1"/>
    <col min="759" max="782" width="13.54296875" bestFit="1" customWidth="1"/>
    <col min="783" max="783" width="8.453125" bestFit="1" customWidth="1"/>
    <col min="784" max="797" width="12.453125" bestFit="1" customWidth="1"/>
    <col min="798" max="831" width="13.54296875" bestFit="1" customWidth="1"/>
    <col min="832" max="832" width="8.453125" bestFit="1" customWidth="1"/>
    <col min="833" max="843" width="12.453125" bestFit="1" customWidth="1"/>
    <col min="844" max="859" width="13.54296875" bestFit="1" customWidth="1"/>
    <col min="860" max="860" width="8.453125" bestFit="1" customWidth="1"/>
    <col min="861" max="865" width="12.453125" bestFit="1" customWidth="1"/>
    <col min="866" max="870" width="13.54296875" bestFit="1" customWidth="1"/>
    <col min="871" max="871" width="8.453125" bestFit="1" customWidth="1"/>
    <col min="872" max="874" width="12.453125" bestFit="1" customWidth="1"/>
    <col min="875" max="877" width="13.54296875" bestFit="1" customWidth="1"/>
    <col min="878" max="878" width="8.453125" bestFit="1" customWidth="1"/>
    <col min="879" max="879" width="13.54296875" bestFit="1" customWidth="1"/>
    <col min="880" max="880" width="8.453125" bestFit="1" customWidth="1"/>
    <col min="881" max="882" width="13.54296875" bestFit="1" customWidth="1"/>
    <col min="883" max="883" width="9.453125" bestFit="1" customWidth="1"/>
    <col min="884" max="884" width="13.54296875" bestFit="1" customWidth="1"/>
    <col min="885" max="896" width="14.54296875" bestFit="1" customWidth="1"/>
    <col min="897" max="897" width="9.453125" bestFit="1" customWidth="1"/>
    <col min="898" max="906" width="13.54296875" bestFit="1" customWidth="1"/>
    <col min="907" max="919" width="14.54296875" bestFit="1" customWidth="1"/>
    <col min="920" max="920" width="9.453125" bestFit="1" customWidth="1"/>
    <col min="921" max="926" width="13.54296875" bestFit="1" customWidth="1"/>
    <col min="927" max="953" width="14.54296875" bestFit="1" customWidth="1"/>
    <col min="954" max="954" width="9.453125" bestFit="1" customWidth="1"/>
    <col min="955" max="957" width="13.54296875" bestFit="1" customWidth="1"/>
    <col min="958" max="959" width="14.54296875" bestFit="1" customWidth="1"/>
    <col min="960" max="960" width="9.453125" bestFit="1" customWidth="1"/>
    <col min="961" max="962" width="13.54296875" bestFit="1" customWidth="1"/>
    <col min="963" max="963" width="9.453125" bestFit="1" customWidth="1"/>
    <col min="964" max="964" width="13.54296875" bestFit="1" customWidth="1"/>
    <col min="965" max="965" width="14.54296875" bestFit="1" customWidth="1"/>
    <col min="966" max="966" width="9.453125" bestFit="1" customWidth="1"/>
    <col min="967" max="969" width="13.54296875" bestFit="1" customWidth="1"/>
    <col min="970" max="987" width="14.54296875" bestFit="1" customWidth="1"/>
    <col min="988" max="988" width="9.453125" bestFit="1" customWidth="1"/>
    <col min="989" max="998" width="13.54296875" bestFit="1" customWidth="1"/>
    <col min="999" max="1032" width="14.54296875" bestFit="1" customWidth="1"/>
    <col min="1033" max="1033" width="9.453125" bestFit="1" customWidth="1"/>
    <col min="1034" max="1047" width="13.54296875" bestFit="1" customWidth="1"/>
    <col min="1048" max="1055" width="14.54296875" bestFit="1" customWidth="1"/>
    <col min="1056" max="1056" width="9.453125" bestFit="1" customWidth="1"/>
    <col min="1057" max="1058" width="13.54296875" bestFit="1" customWidth="1"/>
    <col min="1059" max="1067" width="14.54296875" bestFit="1" customWidth="1"/>
    <col min="1068" max="1068" width="9.453125" bestFit="1" customWidth="1"/>
    <col min="1069" max="1069" width="13.54296875" bestFit="1" customWidth="1"/>
    <col min="1070" max="1079" width="14.54296875" bestFit="1" customWidth="1"/>
    <col min="1080" max="1080" width="9.453125" bestFit="1" customWidth="1"/>
    <col min="1081" max="1081" width="13.54296875" bestFit="1" customWidth="1"/>
    <col min="1082" max="1082" width="14.54296875" bestFit="1" customWidth="1"/>
    <col min="1083" max="1083" width="9.453125" bestFit="1" customWidth="1"/>
    <col min="1084" max="1084" width="13.54296875" bestFit="1" customWidth="1"/>
    <col min="1085" max="1085" width="9.453125" bestFit="1" customWidth="1"/>
    <col min="1086" max="1086" width="13.54296875" bestFit="1" customWidth="1"/>
    <col min="1087" max="1091" width="14.54296875" bestFit="1" customWidth="1"/>
    <col min="1092" max="1092" width="9.453125" bestFit="1" customWidth="1"/>
    <col min="1093" max="1098" width="13.54296875" bestFit="1" customWidth="1"/>
    <col min="1099" max="1106" width="14.54296875" bestFit="1" customWidth="1"/>
    <col min="1107" max="1107" width="9.453125" bestFit="1" customWidth="1"/>
    <col min="1108" max="1115" width="13.54296875" bestFit="1" customWidth="1"/>
    <col min="1116" max="1122" width="14.54296875" bestFit="1" customWidth="1"/>
    <col min="1123" max="1123" width="9.453125" bestFit="1" customWidth="1"/>
    <col min="1124" max="1135" width="14.54296875" bestFit="1" customWidth="1"/>
    <col min="1136" max="1136" width="9.453125" bestFit="1" customWidth="1"/>
    <col min="1137" max="1143" width="13.54296875" bestFit="1" customWidth="1"/>
    <col min="1144" max="1149" width="14.54296875" bestFit="1" customWidth="1"/>
    <col min="1150" max="1150" width="9.453125" bestFit="1" customWidth="1"/>
    <col min="1151" max="1152" width="13.54296875" bestFit="1" customWidth="1"/>
    <col min="1153" max="1154" width="14.54296875" bestFit="1" customWidth="1"/>
    <col min="1155" max="1155" width="9.453125" bestFit="1" customWidth="1"/>
    <col min="1156" max="1157" width="13.54296875" bestFit="1" customWidth="1"/>
    <col min="1158" max="1158" width="9.453125" bestFit="1" customWidth="1"/>
    <col min="1159" max="1174" width="14.54296875" bestFit="1" customWidth="1"/>
    <col min="1175" max="1175" width="8.453125" bestFit="1" customWidth="1"/>
    <col min="1176" max="1182" width="12.453125" bestFit="1" customWidth="1"/>
    <col min="1183" max="1206" width="13.54296875" bestFit="1" customWidth="1"/>
    <col min="1207" max="1207" width="8.453125" bestFit="1" customWidth="1"/>
    <col min="1208" max="1217" width="12.453125" bestFit="1" customWidth="1"/>
    <col min="1218" max="1229" width="13.54296875" bestFit="1" customWidth="1"/>
    <col min="1230" max="1230" width="8.453125" bestFit="1" customWidth="1"/>
    <col min="1231" max="1234" width="12.453125" bestFit="1" customWidth="1"/>
    <col min="1235" max="1239" width="13.54296875" bestFit="1" customWidth="1"/>
    <col min="1240" max="1240" width="8.453125" bestFit="1" customWidth="1"/>
    <col min="1241" max="1243" width="12.453125" bestFit="1" customWidth="1"/>
    <col min="1244" max="1254" width="13.54296875" bestFit="1" customWidth="1"/>
    <col min="1255" max="1255" width="8.453125" bestFit="1" customWidth="1"/>
    <col min="1256" max="1262" width="13.54296875" bestFit="1" customWidth="1"/>
    <col min="1263" max="1263" width="8.453125" bestFit="1" customWidth="1"/>
    <col min="1264" max="1264" width="12.453125" bestFit="1" customWidth="1"/>
    <col min="1265" max="1266" width="13.54296875" bestFit="1" customWidth="1"/>
    <col min="1267" max="1267" width="8.453125" bestFit="1" customWidth="1"/>
    <col min="1268" max="1286" width="13.54296875" bestFit="1" customWidth="1"/>
    <col min="1287" max="1287" width="8.453125" bestFit="1" customWidth="1"/>
    <col min="1288" max="1298" width="12.453125" bestFit="1" customWidth="1"/>
    <col min="1299" max="1308" width="13.54296875" bestFit="1" customWidth="1"/>
    <col min="1309" max="1309" width="8.453125" bestFit="1" customWidth="1"/>
    <col min="1310" max="1328" width="12.453125" bestFit="1" customWidth="1"/>
    <col min="1329" max="1341" width="13.54296875" bestFit="1" customWidth="1"/>
    <col min="1342" max="1342" width="9.453125" bestFit="1" customWidth="1"/>
    <col min="1343" max="1345" width="13.54296875" bestFit="1" customWidth="1"/>
    <col min="1346" max="1351" width="14.54296875" bestFit="1" customWidth="1"/>
    <col min="1352" max="1352" width="9.453125" bestFit="1" customWidth="1"/>
    <col min="1353" max="1354" width="13.54296875" bestFit="1" customWidth="1"/>
    <col min="1355" max="1365" width="14.54296875" bestFit="1" customWidth="1"/>
    <col min="1366" max="1366" width="9.453125" bestFit="1" customWidth="1"/>
    <col min="1367" max="1370" width="14.54296875" bestFit="1" customWidth="1"/>
    <col min="1371" max="1371" width="9.453125" bestFit="1" customWidth="1"/>
    <col min="1372" max="1372" width="14.54296875" bestFit="1" customWidth="1"/>
    <col min="1373" max="1373" width="9.453125" bestFit="1" customWidth="1"/>
    <col min="1374" max="1375" width="13.54296875" bestFit="1" customWidth="1"/>
    <col min="1376" max="1384" width="14.54296875" bestFit="1" customWidth="1"/>
    <col min="1385" max="1385" width="9.453125" bestFit="1" customWidth="1"/>
    <col min="1386" max="1386" width="13.54296875" bestFit="1" customWidth="1"/>
    <col min="1387" max="1391" width="14.54296875" bestFit="1" customWidth="1"/>
    <col min="1392" max="1392" width="9.453125" bestFit="1" customWidth="1"/>
    <col min="1393" max="1399" width="13.54296875" bestFit="1" customWidth="1"/>
    <col min="1400" max="1405" width="14.54296875" bestFit="1" customWidth="1"/>
    <col min="1406" max="1406" width="9.453125" bestFit="1" customWidth="1"/>
    <col min="1407" max="1415" width="13.54296875" bestFit="1" customWidth="1"/>
    <col min="1416" max="1454" width="14.54296875" bestFit="1" customWidth="1"/>
    <col min="1455" max="1455" width="9.453125" bestFit="1" customWidth="1"/>
    <col min="1456" max="1462" width="13.54296875" bestFit="1" customWidth="1"/>
    <col min="1463" max="1479" width="14.54296875" bestFit="1" customWidth="1"/>
    <col min="1480" max="1480" width="9.453125" bestFit="1" customWidth="1"/>
    <col min="1481" max="1486" width="14.54296875" bestFit="1" customWidth="1"/>
    <col min="1487" max="1488" width="9.453125" bestFit="1" customWidth="1"/>
    <col min="1489" max="1491" width="13.54296875" bestFit="1" customWidth="1"/>
    <col min="1492" max="1517" width="14.54296875" bestFit="1" customWidth="1"/>
    <col min="1518" max="1518" width="9.453125" bestFit="1" customWidth="1"/>
    <col min="1519" max="1529" width="13.54296875" bestFit="1" customWidth="1"/>
    <col min="1530" max="1535" width="14.54296875" bestFit="1" customWidth="1"/>
    <col min="1536" max="1536" width="9.453125" bestFit="1" customWidth="1"/>
    <col min="1537" max="1548" width="13.54296875" bestFit="1" customWidth="1"/>
    <col min="1549" max="1555" width="14.54296875" bestFit="1" customWidth="1"/>
    <col min="1556" max="1556" width="9.453125" bestFit="1" customWidth="1"/>
    <col min="1557" max="1558" width="13.54296875" bestFit="1" customWidth="1"/>
    <col min="1559" max="1572" width="14.54296875" bestFit="1" customWidth="1"/>
    <col min="1573" max="1573" width="9.453125" bestFit="1" customWidth="1"/>
    <col min="1574" max="1583" width="13.54296875" bestFit="1" customWidth="1"/>
    <col min="1584" max="1587" width="14.54296875" bestFit="1" customWidth="1"/>
    <col min="1588" max="1588" width="9.453125" bestFit="1" customWidth="1"/>
    <col min="1589" max="1591" width="13.54296875" bestFit="1" customWidth="1"/>
    <col min="1592" max="1592" width="9.453125" bestFit="1" customWidth="1"/>
    <col min="1593" max="1593" width="13.54296875" bestFit="1" customWidth="1"/>
    <col min="1594" max="1595" width="14.54296875" bestFit="1" customWidth="1"/>
    <col min="1596" max="1596" width="9.453125" bestFit="1" customWidth="1"/>
    <col min="1597" max="1597" width="13.54296875" bestFit="1" customWidth="1"/>
    <col min="1598" max="1607" width="14.54296875" bestFit="1" customWidth="1"/>
    <col min="1608" max="1608" width="9.453125" bestFit="1" customWidth="1"/>
    <col min="1609" max="1614" width="13.54296875" bestFit="1" customWidth="1"/>
    <col min="1615" max="1627" width="14.54296875" bestFit="1" customWidth="1"/>
    <col min="1628" max="1628" width="9.453125" bestFit="1" customWidth="1"/>
    <col min="1629" max="1643" width="13.54296875" bestFit="1" customWidth="1"/>
    <col min="1644" max="1669" width="14.54296875" bestFit="1" customWidth="1"/>
    <col min="1670" max="1670" width="9.453125" bestFit="1" customWidth="1"/>
    <col min="1671" max="1679" width="13.54296875" bestFit="1" customWidth="1"/>
    <col min="1680" max="1708" width="14.54296875" bestFit="1" customWidth="1"/>
    <col min="1709" max="1709" width="8.453125" bestFit="1" customWidth="1"/>
    <col min="1710" max="1714" width="12.453125" bestFit="1" customWidth="1"/>
    <col min="1715" max="1715" width="13.54296875" bestFit="1" customWidth="1"/>
    <col min="1716" max="1719" width="8.453125" bestFit="1" customWidth="1"/>
    <col min="1720" max="1724" width="13.54296875" bestFit="1" customWidth="1"/>
    <col min="1725" max="1725" width="8.453125" bestFit="1" customWidth="1"/>
    <col min="1726" max="1728" width="12.453125" bestFit="1" customWidth="1"/>
    <col min="1729" max="1729" width="8.453125" bestFit="1" customWidth="1"/>
    <col min="1730" max="1730" width="12.453125" bestFit="1" customWidth="1"/>
    <col min="1731" max="1732" width="13.54296875" bestFit="1" customWidth="1"/>
    <col min="1733" max="1733" width="8.453125" bestFit="1" customWidth="1"/>
    <col min="1734" max="1736" width="12.453125" bestFit="1" customWidth="1"/>
    <col min="1737" max="1738" width="9.453125" bestFit="1" customWidth="1"/>
    <col min="1739" max="1741" width="14.54296875" bestFit="1" customWidth="1"/>
    <col min="1742" max="1742" width="9.453125" bestFit="1" customWidth="1"/>
    <col min="1743" max="1744" width="14.54296875" bestFit="1" customWidth="1"/>
    <col min="1745" max="1745" width="9.453125" bestFit="1" customWidth="1"/>
    <col min="1746" max="1758" width="14.54296875" bestFit="1" customWidth="1"/>
    <col min="1759" max="1759" width="9.453125" bestFit="1" customWidth="1"/>
    <col min="1760" max="1766" width="14.54296875" bestFit="1" customWidth="1"/>
    <col min="1767" max="1767" width="9.453125" bestFit="1" customWidth="1"/>
    <col min="1768" max="1770" width="13.54296875" bestFit="1" customWidth="1"/>
    <col min="1771" max="1773" width="14.54296875" bestFit="1" customWidth="1"/>
    <col min="1774" max="1776" width="9.453125" bestFit="1" customWidth="1"/>
    <col min="1777" max="1783" width="14.54296875" bestFit="1" customWidth="1"/>
    <col min="1784" max="1784" width="9.453125" bestFit="1" customWidth="1"/>
    <col min="1785" max="1795" width="14.54296875" bestFit="1" customWidth="1"/>
    <col min="1796" max="1796" width="9.453125" bestFit="1" customWidth="1"/>
    <col min="1797" max="1812" width="14.54296875" bestFit="1" customWidth="1"/>
    <col min="1813" max="1813" width="9.453125" bestFit="1" customWidth="1"/>
    <col min="1814" max="1819" width="14.54296875" bestFit="1" customWidth="1"/>
    <col min="1820" max="1820" width="9.453125" bestFit="1" customWidth="1"/>
    <col min="1821" max="1822" width="14.54296875" bestFit="1" customWidth="1"/>
    <col min="1823" max="1823" width="9.453125" bestFit="1" customWidth="1"/>
    <col min="1824" max="1827" width="14.54296875" bestFit="1" customWidth="1"/>
    <col min="1828" max="1828" width="9.453125" bestFit="1" customWidth="1"/>
    <col min="1829" max="1836" width="14.54296875" bestFit="1" customWidth="1"/>
    <col min="1837" max="1837" width="9.453125" bestFit="1" customWidth="1"/>
    <col min="1838" max="1842" width="14.54296875" bestFit="1" customWidth="1"/>
    <col min="1843" max="1843" width="9.453125" bestFit="1" customWidth="1"/>
    <col min="1844" max="1845" width="13.54296875" bestFit="1" customWidth="1"/>
    <col min="1846" max="1847" width="9.453125" bestFit="1" customWidth="1"/>
    <col min="1848" max="1848" width="10.453125" bestFit="1" customWidth="1"/>
    <col min="1849" max="1849" width="9.453125" bestFit="1" customWidth="1"/>
    <col min="1850" max="1851" width="10.453125" bestFit="1" customWidth="1"/>
    <col min="1852" max="1852" width="7.26953125" bestFit="1" customWidth="1"/>
    <col min="1853" max="1853" width="11.26953125" bestFit="1" customWidth="1"/>
  </cols>
  <sheetData>
    <row r="3" spans="3:15" ht="26" customHeight="1" x14ac:dyDescent="0.6">
      <c r="C3" s="25" t="s">
        <v>0</v>
      </c>
    </row>
    <row r="5" spans="3:15" x14ac:dyDescent="0.35">
      <c r="C5" s="23" t="s">
        <v>1</v>
      </c>
      <c r="D5" s="23" t="s">
        <v>2</v>
      </c>
    </row>
    <row r="6" spans="3:15" x14ac:dyDescent="0.35">
      <c r="C6" s="23" t="s">
        <v>3</v>
      </c>
      <c r="D6" t="s">
        <v>4</v>
      </c>
      <c r="E6" t="s">
        <v>5</v>
      </c>
      <c r="F6" t="s">
        <v>6</v>
      </c>
      <c r="G6" t="s">
        <v>7</v>
      </c>
      <c r="H6" t="s">
        <v>8</v>
      </c>
      <c r="I6" t="s">
        <v>9</v>
      </c>
      <c r="J6" t="s">
        <v>10</v>
      </c>
      <c r="K6" t="s">
        <v>11</v>
      </c>
      <c r="L6" t="s">
        <v>12</v>
      </c>
      <c r="M6" t="s">
        <v>13</v>
      </c>
      <c r="N6" t="s">
        <v>14</v>
      </c>
      <c r="O6" t="s">
        <v>15</v>
      </c>
    </row>
    <row r="7" spans="3:15" x14ac:dyDescent="0.35">
      <c r="C7" s="24"/>
      <c r="D7" s="29">
        <v>0.3141025641025641</v>
      </c>
      <c r="E7" s="29">
        <v>1.282051282051282E-2</v>
      </c>
      <c r="F7" s="29">
        <v>5.128205128205128E-2</v>
      </c>
      <c r="G7" s="29">
        <v>0.1858974358974359</v>
      </c>
      <c r="H7" s="29">
        <v>0</v>
      </c>
      <c r="I7" s="29">
        <v>3.2051282051282048E-2</v>
      </c>
      <c r="J7" s="29">
        <v>5.7692307692307702E-2</v>
      </c>
      <c r="K7" s="29">
        <v>0.12820512820512819</v>
      </c>
      <c r="L7" s="29">
        <v>7.6923076923076927E-2</v>
      </c>
      <c r="M7" s="29">
        <v>0.13461538461538461</v>
      </c>
      <c r="N7" s="29">
        <v>6.41025641025641E-3</v>
      </c>
      <c r="O7" s="29">
        <v>1</v>
      </c>
    </row>
    <row r="8" spans="3:15" x14ac:dyDescent="0.35">
      <c r="C8" s="24" t="s">
        <v>16</v>
      </c>
      <c r="D8" s="29">
        <v>0</v>
      </c>
      <c r="E8" s="29">
        <v>0</v>
      </c>
      <c r="F8" s="29">
        <v>0</v>
      </c>
      <c r="G8" s="29">
        <v>0</v>
      </c>
      <c r="H8" s="29">
        <v>0</v>
      </c>
      <c r="I8" s="29">
        <v>0</v>
      </c>
      <c r="J8" s="29">
        <v>3.5714285714285712E-2</v>
      </c>
      <c r="K8" s="29">
        <v>0.9642857142857143</v>
      </c>
      <c r="L8" s="29">
        <v>0</v>
      </c>
      <c r="M8" s="29">
        <v>0</v>
      </c>
      <c r="N8" s="29">
        <v>0</v>
      </c>
      <c r="O8" s="29">
        <v>1</v>
      </c>
    </row>
    <row r="9" spans="3:15" x14ac:dyDescent="0.35">
      <c r="C9" s="24" t="s">
        <v>17</v>
      </c>
      <c r="D9" s="29">
        <v>1</v>
      </c>
      <c r="E9" s="29">
        <v>0</v>
      </c>
      <c r="F9" s="29">
        <v>0</v>
      </c>
      <c r="G9" s="29">
        <v>0</v>
      </c>
      <c r="H9" s="29">
        <v>0</v>
      </c>
      <c r="I9" s="29">
        <v>0</v>
      </c>
      <c r="J9" s="29">
        <v>0</v>
      </c>
      <c r="K9" s="29">
        <v>0</v>
      </c>
      <c r="L9" s="29">
        <v>0</v>
      </c>
      <c r="M9" s="29">
        <v>0</v>
      </c>
      <c r="N9" s="29">
        <v>0</v>
      </c>
      <c r="O9" s="29">
        <v>1</v>
      </c>
    </row>
    <row r="10" spans="3:15" x14ac:dyDescent="0.35">
      <c r="C10" s="24" t="s">
        <v>18</v>
      </c>
      <c r="D10" s="29">
        <v>0</v>
      </c>
      <c r="E10" s="29">
        <v>0</v>
      </c>
      <c r="F10" s="29">
        <v>0</v>
      </c>
      <c r="G10" s="29">
        <v>0</v>
      </c>
      <c r="H10" s="29">
        <v>0.75</v>
      </c>
      <c r="I10" s="29">
        <v>0</v>
      </c>
      <c r="J10" s="29">
        <v>0</v>
      </c>
      <c r="K10" s="29">
        <v>0</v>
      </c>
      <c r="L10" s="29">
        <v>0</v>
      </c>
      <c r="M10" s="29">
        <v>0.25</v>
      </c>
      <c r="N10" s="29">
        <v>0</v>
      </c>
      <c r="O10" s="29">
        <v>1</v>
      </c>
    </row>
    <row r="11" spans="3:15" x14ac:dyDescent="0.35">
      <c r="C11" s="24" t="s">
        <v>15</v>
      </c>
      <c r="D11" s="29">
        <v>0.30150753768844218</v>
      </c>
      <c r="E11" s="29">
        <v>1.0050251256281411E-2</v>
      </c>
      <c r="F11" s="29">
        <v>4.0201005025125629E-2</v>
      </c>
      <c r="G11" s="29">
        <v>0.14572864321608039</v>
      </c>
      <c r="H11" s="29">
        <v>1.507537688442211E-2</v>
      </c>
      <c r="I11" s="29">
        <v>2.5125628140703519E-2</v>
      </c>
      <c r="J11" s="29">
        <v>5.0251256281407038E-2</v>
      </c>
      <c r="K11" s="29">
        <v>0.23618090452261309</v>
      </c>
      <c r="L11" s="29">
        <v>6.030150753768844E-2</v>
      </c>
      <c r="M11" s="29">
        <v>0.1105527638190955</v>
      </c>
      <c r="N11" s="29">
        <v>5.0251256281407036E-3</v>
      </c>
      <c r="O11" s="29">
        <v>1</v>
      </c>
    </row>
    <row r="21" spans="3:3" ht="26" customHeight="1" x14ac:dyDescent="0.6">
      <c r="C21" s="25"/>
    </row>
    <row r="37" spans="3:4" x14ac:dyDescent="0.35">
      <c r="C37" s="23" t="s">
        <v>3</v>
      </c>
      <c r="D37" t="s">
        <v>1</v>
      </c>
    </row>
    <row r="38" spans="3:4" x14ac:dyDescent="0.35">
      <c r="C38" s="24"/>
      <c r="D38" s="29">
        <v>0.7839195979899497</v>
      </c>
    </row>
    <row r="39" spans="3:4" x14ac:dyDescent="0.35">
      <c r="C39" s="24" t="s">
        <v>18</v>
      </c>
      <c r="D39" s="29">
        <v>2.0100502512562811E-2</v>
      </c>
    </row>
    <row r="40" spans="3:4" x14ac:dyDescent="0.35">
      <c r="C40" s="24" t="s">
        <v>16</v>
      </c>
      <c r="D40" s="29">
        <v>0.1407035175879397</v>
      </c>
    </row>
    <row r="41" spans="3:4" x14ac:dyDescent="0.35">
      <c r="C41" s="24" t="s">
        <v>17</v>
      </c>
      <c r="D41" s="29">
        <v>5.5276381909547742E-2</v>
      </c>
    </row>
    <row r="42" spans="3:4" x14ac:dyDescent="0.35">
      <c r="C42" s="24" t="s">
        <v>15</v>
      </c>
      <c r="D42" s="29">
        <v>1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O213"/>
  <sheetViews>
    <sheetView tabSelected="1" zoomScale="67" zoomScaleNormal="100" workbookViewId="0">
      <pane ySplit="1" topLeftCell="A53" activePane="bottomLeft" state="frozen"/>
      <selection pane="bottomLeft" activeCell="L90" sqref="L90"/>
    </sheetView>
  </sheetViews>
  <sheetFormatPr defaultRowHeight="14.5" x14ac:dyDescent="0.35"/>
  <cols>
    <col min="1" max="1" width="21.81640625" style="13" customWidth="1"/>
    <col min="2" max="2" width="27.54296875" customWidth="1"/>
    <col min="3" max="3" width="17.1796875" customWidth="1"/>
    <col min="4" max="4" width="10.453125" customWidth="1"/>
    <col min="6" max="6" width="30.54296875" customWidth="1"/>
    <col min="7" max="7" width="19.54296875" style="2" customWidth="1"/>
    <col min="8" max="8" width="13.1796875" customWidth="1"/>
    <col min="9" max="9" width="12.1796875" style="2" customWidth="1"/>
    <col min="10" max="10" width="20.54296875" customWidth="1"/>
    <col min="11" max="11" width="13.1796875" customWidth="1"/>
    <col min="12" max="12" width="17.54296875" customWidth="1"/>
    <col min="13" max="13" width="28.7265625" customWidth="1"/>
    <col min="14" max="14" width="13.453125" customWidth="1"/>
    <col min="17" max="17" width="9.453125" bestFit="1" customWidth="1"/>
    <col min="20" max="20" width="25.81640625" customWidth="1"/>
    <col min="21" max="21" width="22" customWidth="1"/>
    <col min="22" max="22" width="22.1796875" customWidth="1"/>
  </cols>
  <sheetData>
    <row r="1" spans="1:15" x14ac:dyDescent="0.35">
      <c r="A1" s="12" t="s">
        <v>19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  <c r="G1" s="6" t="s">
        <v>25</v>
      </c>
      <c r="H1" s="4" t="s">
        <v>26</v>
      </c>
      <c r="I1" s="6" t="s">
        <v>27</v>
      </c>
      <c r="J1" s="3" t="s">
        <v>28</v>
      </c>
      <c r="K1" s="3" t="s">
        <v>29</v>
      </c>
      <c r="L1" s="5" t="s">
        <v>30</v>
      </c>
      <c r="M1" s="1" t="s">
        <v>31</v>
      </c>
      <c r="N1" s="1" t="s">
        <v>32</v>
      </c>
      <c r="O1" s="1" t="s">
        <v>8</v>
      </c>
    </row>
    <row r="2" spans="1:15" x14ac:dyDescent="0.35">
      <c r="A2" s="8">
        <v>45656</v>
      </c>
      <c r="B2" s="17" t="s">
        <v>33</v>
      </c>
      <c r="C2" s="26">
        <v>2338650</v>
      </c>
      <c r="D2" s="10" t="s">
        <v>6</v>
      </c>
      <c r="E2" s="11" t="s">
        <v>8</v>
      </c>
      <c r="F2" s="10">
        <v>39239090</v>
      </c>
      <c r="G2" s="19">
        <v>16006.01</v>
      </c>
      <c r="H2" t="s">
        <v>34</v>
      </c>
      <c r="J2" s="7">
        <v>0.14775252928617441</v>
      </c>
      <c r="K2" t="s">
        <v>34</v>
      </c>
      <c r="L2" t="s">
        <v>35</v>
      </c>
      <c r="M2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2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>API Error</v>
      </c>
      <c r="O2">
        <f>ROW()</f>
        <v>2</v>
      </c>
    </row>
    <row r="3" spans="1:15" x14ac:dyDescent="0.35">
      <c r="A3" s="8">
        <v>45656</v>
      </c>
      <c r="B3" s="17" t="s">
        <v>36</v>
      </c>
      <c r="C3" s="26">
        <v>1686506</v>
      </c>
      <c r="D3" s="10" t="s">
        <v>6</v>
      </c>
      <c r="E3" s="11" t="s">
        <v>8</v>
      </c>
      <c r="F3" s="10">
        <v>39239090</v>
      </c>
      <c r="G3" s="19">
        <v>14235.35</v>
      </c>
      <c r="H3" t="s">
        <v>34</v>
      </c>
      <c r="J3" s="7">
        <v>0.1314074808224108</v>
      </c>
      <c r="K3" t="s">
        <v>34</v>
      </c>
      <c r="L3" t="s">
        <v>35</v>
      </c>
      <c r="M3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3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>API Error</v>
      </c>
      <c r="O3">
        <f>ROW()</f>
        <v>3</v>
      </c>
    </row>
    <row r="4" spans="1:15" x14ac:dyDescent="0.35">
      <c r="A4" s="8">
        <v>45656</v>
      </c>
      <c r="B4" s="17" t="s">
        <v>37</v>
      </c>
      <c r="C4" s="26">
        <v>3828949</v>
      </c>
      <c r="D4" s="10" t="s">
        <v>6</v>
      </c>
      <c r="E4" s="11" t="s">
        <v>8</v>
      </c>
      <c r="F4" s="10">
        <v>39239090</v>
      </c>
      <c r="G4" s="19">
        <v>4496.67</v>
      </c>
      <c r="H4" t="s">
        <v>34</v>
      </c>
      <c r="J4" s="7">
        <v>4.1509025386211602E-2</v>
      </c>
      <c r="K4" t="s">
        <v>34</v>
      </c>
      <c r="L4" t="s">
        <v>35</v>
      </c>
      <c r="M4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4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>API Error</v>
      </c>
      <c r="O4">
        <f>ROW()</f>
        <v>4</v>
      </c>
    </row>
    <row r="5" spans="1:15" x14ac:dyDescent="0.35">
      <c r="A5" s="8">
        <v>45658</v>
      </c>
      <c r="B5" s="17" t="s">
        <v>38</v>
      </c>
      <c r="C5" s="26">
        <v>1183368</v>
      </c>
      <c r="D5" s="10" t="s">
        <v>39</v>
      </c>
      <c r="E5" s="11" t="s">
        <v>13</v>
      </c>
      <c r="F5" s="10" t="s">
        <v>40</v>
      </c>
      <c r="G5" s="19">
        <v>39984.241439999998</v>
      </c>
      <c r="H5" t="s">
        <v>34</v>
      </c>
      <c r="I5" s="2">
        <v>1</v>
      </c>
      <c r="J5" s="7">
        <v>7996.8482880000001</v>
      </c>
      <c r="K5" t="s">
        <v>34</v>
      </c>
      <c r="L5" t="b">
        <v>0</v>
      </c>
      <c r="M5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5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5">
        <f>ROW()</f>
        <v>5</v>
      </c>
    </row>
    <row r="6" spans="1:15" x14ac:dyDescent="0.35">
      <c r="A6" s="8">
        <v>45659</v>
      </c>
      <c r="B6" s="17" t="s">
        <v>41</v>
      </c>
      <c r="C6" s="26">
        <v>6201172</v>
      </c>
      <c r="D6" s="10" t="s">
        <v>42</v>
      </c>
      <c r="E6" s="11" t="s">
        <v>4</v>
      </c>
      <c r="F6" s="10" t="s">
        <v>43</v>
      </c>
      <c r="G6" s="19">
        <v>43941.3534</v>
      </c>
      <c r="H6" t="s">
        <v>34</v>
      </c>
      <c r="I6" s="2">
        <v>1</v>
      </c>
      <c r="J6" s="7">
        <v>3163.7772</v>
      </c>
      <c r="K6" t="s">
        <v>34</v>
      </c>
      <c r="L6" t="b">
        <v>0</v>
      </c>
      <c r="M6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6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6">
        <f>ROW()</f>
        <v>6</v>
      </c>
    </row>
    <row r="7" spans="1:15" x14ac:dyDescent="0.35">
      <c r="A7" s="8">
        <v>45659</v>
      </c>
      <c r="B7" s="17" t="s">
        <v>44</v>
      </c>
      <c r="C7" s="26">
        <v>3797559</v>
      </c>
      <c r="D7" s="10" t="s">
        <v>45</v>
      </c>
      <c r="E7" s="11" t="s">
        <v>6</v>
      </c>
      <c r="F7" s="10" t="s">
        <v>46</v>
      </c>
      <c r="G7" s="19">
        <v>1571503.2660359109</v>
      </c>
      <c r="H7" t="s">
        <v>34</v>
      </c>
      <c r="I7" s="2">
        <v>1</v>
      </c>
      <c r="J7" s="7">
        <v>0</v>
      </c>
      <c r="K7" t="s">
        <v>34</v>
      </c>
      <c r="L7" t="b">
        <v>0</v>
      </c>
      <c r="M7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7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7">
        <f>ROW()</f>
        <v>7</v>
      </c>
    </row>
    <row r="8" spans="1:15" x14ac:dyDescent="0.35">
      <c r="A8" s="8">
        <v>45659</v>
      </c>
      <c r="B8" s="17" t="s">
        <v>47</v>
      </c>
      <c r="C8" s="26">
        <v>1116224</v>
      </c>
      <c r="D8" s="10" t="s">
        <v>45</v>
      </c>
      <c r="E8" s="11" t="s">
        <v>6</v>
      </c>
      <c r="F8" s="10" t="s">
        <v>46</v>
      </c>
      <c r="G8" s="19">
        <v>1551758.261767956</v>
      </c>
      <c r="H8" t="s">
        <v>34</v>
      </c>
      <c r="I8" s="2">
        <v>1</v>
      </c>
      <c r="J8" s="7">
        <v>0</v>
      </c>
      <c r="K8" t="s">
        <v>34</v>
      </c>
      <c r="L8" t="b">
        <v>1</v>
      </c>
      <c r="M8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8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8">
        <f>ROW()</f>
        <v>8</v>
      </c>
    </row>
    <row r="9" spans="1:15" x14ac:dyDescent="0.35">
      <c r="A9" s="8">
        <v>45659</v>
      </c>
      <c r="B9" s="17" t="s">
        <v>48</v>
      </c>
      <c r="C9" s="26">
        <v>8830633</v>
      </c>
      <c r="D9" s="10" t="s">
        <v>45</v>
      </c>
      <c r="E9" s="11" t="s">
        <v>6</v>
      </c>
      <c r="F9" s="10" t="s">
        <v>46</v>
      </c>
      <c r="G9" s="19">
        <v>1320013.8927624309</v>
      </c>
      <c r="H9" t="s">
        <v>34</v>
      </c>
      <c r="I9" s="2">
        <v>1</v>
      </c>
      <c r="J9" s="7">
        <v>0</v>
      </c>
      <c r="K9" t="s">
        <v>34</v>
      </c>
      <c r="L9" t="b">
        <v>1</v>
      </c>
      <c r="M9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9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9">
        <f>ROW()</f>
        <v>9</v>
      </c>
    </row>
    <row r="10" spans="1:15" x14ac:dyDescent="0.35">
      <c r="A10" s="8">
        <v>45659</v>
      </c>
      <c r="B10" s="17" t="s">
        <v>49</v>
      </c>
      <c r="C10" s="26">
        <v>8485644</v>
      </c>
      <c r="D10" s="10" t="s">
        <v>45</v>
      </c>
      <c r="E10" s="11" t="s">
        <v>6</v>
      </c>
      <c r="F10" s="10" t="s">
        <v>46</v>
      </c>
      <c r="G10" s="19">
        <v>1098082.0214088401</v>
      </c>
      <c r="H10" t="s">
        <v>34</v>
      </c>
      <c r="I10" s="2">
        <v>1</v>
      </c>
      <c r="J10" s="7">
        <v>0</v>
      </c>
      <c r="K10" t="s">
        <v>34</v>
      </c>
      <c r="L10" t="b">
        <v>1</v>
      </c>
      <c r="M10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0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0">
        <f>ROW()</f>
        <v>10</v>
      </c>
    </row>
    <row r="11" spans="1:15" x14ac:dyDescent="0.35">
      <c r="A11" s="15">
        <v>45659</v>
      </c>
      <c r="B11" s="18" t="s">
        <v>50</v>
      </c>
      <c r="C11" s="27">
        <v>4475992</v>
      </c>
      <c r="D11" s="14" t="s">
        <v>45</v>
      </c>
      <c r="E11" s="16" t="s">
        <v>6</v>
      </c>
      <c r="F11" s="14" t="s">
        <v>46</v>
      </c>
      <c r="G11" s="19">
        <v>658771.55998618784</v>
      </c>
      <c r="H11" t="s">
        <v>34</v>
      </c>
      <c r="I11" s="2">
        <v>1</v>
      </c>
      <c r="J11" s="7">
        <v>0</v>
      </c>
      <c r="K11" t="s">
        <v>34</v>
      </c>
      <c r="L11" t="b">
        <v>1</v>
      </c>
      <c r="M11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1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1">
        <f>ROW()</f>
        <v>11</v>
      </c>
    </row>
    <row r="12" spans="1:15" x14ac:dyDescent="0.35">
      <c r="A12" s="8">
        <v>45659</v>
      </c>
      <c r="B12" s="17" t="s">
        <v>51</v>
      </c>
      <c r="C12" s="26">
        <v>6560100</v>
      </c>
      <c r="D12" s="10" t="s">
        <v>45</v>
      </c>
      <c r="E12" s="11" t="s">
        <v>6</v>
      </c>
      <c r="F12" s="10" t="s">
        <v>46</v>
      </c>
      <c r="G12" s="19">
        <v>652594.6280110497</v>
      </c>
      <c r="H12" t="s">
        <v>34</v>
      </c>
      <c r="I12" s="2">
        <v>1</v>
      </c>
      <c r="J12" s="7">
        <v>0</v>
      </c>
      <c r="K12" t="s">
        <v>34</v>
      </c>
      <c r="L12" t="b">
        <v>1</v>
      </c>
      <c r="M12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2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2">
        <f>ROW()</f>
        <v>12</v>
      </c>
    </row>
    <row r="13" spans="1:15" x14ac:dyDescent="0.35">
      <c r="A13" s="8">
        <v>45659</v>
      </c>
      <c r="B13" s="17" t="s">
        <v>52</v>
      </c>
      <c r="C13" s="26">
        <v>1743278</v>
      </c>
      <c r="D13" s="10" t="s">
        <v>53</v>
      </c>
      <c r="E13" s="11" t="s">
        <v>9</v>
      </c>
      <c r="F13" s="10" t="s">
        <v>54</v>
      </c>
      <c r="G13" s="19">
        <v>352002</v>
      </c>
      <c r="H13" t="s">
        <v>34</v>
      </c>
      <c r="I13" s="2">
        <v>1</v>
      </c>
      <c r="J13" s="7">
        <v>0</v>
      </c>
      <c r="K13" t="s">
        <v>34</v>
      </c>
      <c r="L13" t="b">
        <v>0</v>
      </c>
      <c r="M13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3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3">
        <f>ROW()</f>
        <v>13</v>
      </c>
    </row>
    <row r="14" spans="1:15" x14ac:dyDescent="0.35">
      <c r="A14" s="8">
        <v>45659</v>
      </c>
      <c r="B14" s="17" t="s">
        <v>55</v>
      </c>
      <c r="C14" s="26">
        <v>498098</v>
      </c>
      <c r="D14" s="10" t="s">
        <v>45</v>
      </c>
      <c r="E14" s="11" t="s">
        <v>10</v>
      </c>
      <c r="F14" s="10" t="s">
        <v>56</v>
      </c>
      <c r="G14" s="19">
        <v>863559.39839999995</v>
      </c>
      <c r="H14" t="s">
        <v>34</v>
      </c>
      <c r="I14" s="2">
        <v>1</v>
      </c>
      <c r="J14" s="7">
        <v>0</v>
      </c>
      <c r="K14" t="s">
        <v>34</v>
      </c>
      <c r="L14" t="b">
        <v>1</v>
      </c>
      <c r="M14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4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4">
        <f>ROW()</f>
        <v>14</v>
      </c>
    </row>
    <row r="15" spans="1:15" x14ac:dyDescent="0.35">
      <c r="A15" s="8">
        <v>45659</v>
      </c>
      <c r="B15" s="17" t="s">
        <v>57</v>
      </c>
      <c r="C15" s="26">
        <v>2880566</v>
      </c>
      <c r="D15" s="10" t="s">
        <v>58</v>
      </c>
      <c r="E15" s="11" t="s">
        <v>10</v>
      </c>
      <c r="F15" s="10" t="s">
        <v>56</v>
      </c>
      <c r="G15" s="19">
        <v>770108.06880000001</v>
      </c>
      <c r="H15" t="s">
        <v>34</v>
      </c>
      <c r="I15" s="2">
        <v>1</v>
      </c>
      <c r="J15" s="7">
        <v>0</v>
      </c>
      <c r="K15" t="s">
        <v>34</v>
      </c>
      <c r="L15" t="b">
        <v>1</v>
      </c>
      <c r="M15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5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5">
        <f>ROW()</f>
        <v>15</v>
      </c>
    </row>
    <row r="16" spans="1:15" x14ac:dyDescent="0.35">
      <c r="A16" s="8">
        <v>45659</v>
      </c>
      <c r="B16" s="17" t="s">
        <v>59</v>
      </c>
      <c r="C16" s="26">
        <v>9546487</v>
      </c>
      <c r="D16" s="10" t="s">
        <v>45</v>
      </c>
      <c r="E16" s="11" t="s">
        <v>10</v>
      </c>
      <c r="F16" s="10" t="s">
        <v>60</v>
      </c>
      <c r="G16" s="19">
        <v>349055.924</v>
      </c>
      <c r="H16" t="s">
        <v>34</v>
      </c>
      <c r="I16" s="2">
        <v>1</v>
      </c>
      <c r="J16" s="7">
        <v>0</v>
      </c>
      <c r="K16" t="s">
        <v>34</v>
      </c>
      <c r="L16" t="b">
        <v>1</v>
      </c>
      <c r="M16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6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6">
        <f>ROW()</f>
        <v>16</v>
      </c>
    </row>
    <row r="17" spans="1:15" x14ac:dyDescent="0.35">
      <c r="A17" s="8">
        <v>45659</v>
      </c>
      <c r="B17" s="17" t="s">
        <v>61</v>
      </c>
      <c r="C17" s="26">
        <v>2317338</v>
      </c>
      <c r="D17" s="10" t="s">
        <v>45</v>
      </c>
      <c r="E17" s="11" t="s">
        <v>10</v>
      </c>
      <c r="F17" s="10" t="s">
        <v>62</v>
      </c>
      <c r="G17" s="19">
        <v>161116.53705000001</v>
      </c>
      <c r="H17" t="s">
        <v>34</v>
      </c>
      <c r="I17" s="2">
        <v>1</v>
      </c>
      <c r="J17" s="7">
        <v>0</v>
      </c>
      <c r="K17" t="s">
        <v>34</v>
      </c>
      <c r="L17" t="b">
        <v>0</v>
      </c>
      <c r="M17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7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7">
        <f>ROW()</f>
        <v>17</v>
      </c>
    </row>
    <row r="18" spans="1:15" x14ac:dyDescent="0.35">
      <c r="A18" s="8">
        <v>45659</v>
      </c>
      <c r="B18" s="17" t="s">
        <v>63</v>
      </c>
      <c r="C18" s="26">
        <v>9611256</v>
      </c>
      <c r="D18" s="10" t="s">
        <v>45</v>
      </c>
      <c r="E18" s="11" t="s">
        <v>10</v>
      </c>
      <c r="F18" s="10" t="s">
        <v>62</v>
      </c>
      <c r="G18" s="19">
        <v>79286.727149999992</v>
      </c>
      <c r="H18" t="s">
        <v>34</v>
      </c>
      <c r="I18" s="2">
        <v>1</v>
      </c>
      <c r="J18" s="7">
        <v>0</v>
      </c>
      <c r="K18" t="s">
        <v>34</v>
      </c>
      <c r="L18" t="b">
        <v>0</v>
      </c>
      <c r="M18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8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8">
        <f>ROW()</f>
        <v>18</v>
      </c>
    </row>
    <row r="19" spans="1:15" x14ac:dyDescent="0.35">
      <c r="A19" s="8">
        <v>45659</v>
      </c>
      <c r="B19" s="17" t="s">
        <v>64</v>
      </c>
      <c r="C19" s="26">
        <v>9729031</v>
      </c>
      <c r="D19" s="10" t="s">
        <v>45</v>
      </c>
      <c r="E19" s="11" t="s">
        <v>10</v>
      </c>
      <c r="F19" s="10" t="s">
        <v>62</v>
      </c>
      <c r="G19" s="19">
        <v>79286.727149999992</v>
      </c>
      <c r="H19" t="s">
        <v>34</v>
      </c>
      <c r="I19" s="2">
        <v>1</v>
      </c>
      <c r="J19" s="7">
        <v>0</v>
      </c>
      <c r="K19" t="s">
        <v>34</v>
      </c>
      <c r="L19" t="b">
        <v>0</v>
      </c>
      <c r="M19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9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9">
        <f>ROW()</f>
        <v>19</v>
      </c>
    </row>
    <row r="20" spans="1:15" x14ac:dyDescent="0.35">
      <c r="A20" s="8">
        <v>45659</v>
      </c>
      <c r="B20" s="17" t="s">
        <v>65</v>
      </c>
      <c r="C20" s="26">
        <v>7747959</v>
      </c>
      <c r="D20" s="10" t="s">
        <v>58</v>
      </c>
      <c r="E20" s="11" t="s">
        <v>10</v>
      </c>
      <c r="F20" s="10" t="s">
        <v>56</v>
      </c>
      <c r="G20" s="19">
        <v>30774.5808</v>
      </c>
      <c r="H20" t="s">
        <v>34</v>
      </c>
      <c r="I20" s="2">
        <v>1</v>
      </c>
      <c r="J20" s="7">
        <v>0</v>
      </c>
      <c r="K20" t="s">
        <v>34</v>
      </c>
      <c r="L20" t="b">
        <v>0</v>
      </c>
      <c r="M20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20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20">
        <f>ROW()</f>
        <v>20</v>
      </c>
    </row>
    <row r="21" spans="1:15" x14ac:dyDescent="0.35">
      <c r="A21" s="8">
        <v>45659</v>
      </c>
      <c r="B21" s="17" t="s">
        <v>66</v>
      </c>
      <c r="C21" s="26">
        <v>9602700</v>
      </c>
      <c r="D21" s="10" t="s">
        <v>67</v>
      </c>
      <c r="E21" s="11" t="s">
        <v>13</v>
      </c>
      <c r="F21" s="10" t="s">
        <v>68</v>
      </c>
      <c r="G21" s="19">
        <v>97612.800000000003</v>
      </c>
      <c r="H21" t="s">
        <v>34</v>
      </c>
      <c r="I21" s="2">
        <v>1</v>
      </c>
      <c r="J21" s="7">
        <v>9761.2800000000007</v>
      </c>
      <c r="K21" t="s">
        <v>34</v>
      </c>
      <c r="L21" t="b">
        <v>0</v>
      </c>
      <c r="M21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21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21">
        <f>ROW()</f>
        <v>21</v>
      </c>
    </row>
    <row r="22" spans="1:15" x14ac:dyDescent="0.35">
      <c r="A22" s="8">
        <v>45660</v>
      </c>
      <c r="B22" s="17" t="s">
        <v>69</v>
      </c>
      <c r="C22" s="26">
        <v>7894451</v>
      </c>
      <c r="D22" s="10" t="s">
        <v>45</v>
      </c>
      <c r="E22" s="11" t="s">
        <v>4</v>
      </c>
      <c r="F22" s="10" t="s">
        <v>43</v>
      </c>
      <c r="G22" s="19">
        <v>2107563.0498000002</v>
      </c>
      <c r="H22" t="s">
        <v>34</v>
      </c>
      <c r="I22" s="2">
        <v>1</v>
      </c>
      <c r="J22" s="7">
        <v>0</v>
      </c>
      <c r="K22" t="s">
        <v>34</v>
      </c>
      <c r="L22" t="b">
        <v>1</v>
      </c>
      <c r="M22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22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22">
        <f>ROW()</f>
        <v>22</v>
      </c>
    </row>
    <row r="23" spans="1:15" x14ac:dyDescent="0.35">
      <c r="A23" s="8">
        <v>45660</v>
      </c>
      <c r="B23" s="17" t="s">
        <v>70</v>
      </c>
      <c r="C23" s="26">
        <v>8732061</v>
      </c>
      <c r="D23" s="10" t="s">
        <v>58</v>
      </c>
      <c r="E23" s="11" t="s">
        <v>4</v>
      </c>
      <c r="F23" s="10" t="s">
        <v>43</v>
      </c>
      <c r="G23" s="19">
        <v>302951.70360000001</v>
      </c>
      <c r="H23" t="s">
        <v>34</v>
      </c>
      <c r="I23" s="2">
        <v>1</v>
      </c>
      <c r="J23" s="7">
        <v>0</v>
      </c>
      <c r="K23" t="s">
        <v>34</v>
      </c>
      <c r="L23" t="b">
        <v>1</v>
      </c>
      <c r="M23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23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23">
        <f>ROW()</f>
        <v>23</v>
      </c>
    </row>
    <row r="24" spans="1:15" x14ac:dyDescent="0.35">
      <c r="A24" s="8">
        <v>45660</v>
      </c>
      <c r="B24" s="17" t="s">
        <v>71</v>
      </c>
      <c r="C24" s="26">
        <v>6840001</v>
      </c>
      <c r="D24" s="10" t="s">
        <v>45</v>
      </c>
      <c r="E24" s="11" t="s">
        <v>4</v>
      </c>
      <c r="F24" s="10" t="s">
        <v>43</v>
      </c>
      <c r="G24" s="19">
        <v>168926.80859999999</v>
      </c>
      <c r="H24" t="s">
        <v>34</v>
      </c>
      <c r="I24" s="2">
        <v>1</v>
      </c>
      <c r="J24" s="7">
        <v>0</v>
      </c>
      <c r="K24" t="s">
        <v>34</v>
      </c>
      <c r="L24" t="b">
        <v>1</v>
      </c>
      <c r="M24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24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24">
        <f>ROW()</f>
        <v>24</v>
      </c>
    </row>
    <row r="25" spans="1:15" x14ac:dyDescent="0.35">
      <c r="A25" s="8">
        <v>45660</v>
      </c>
      <c r="B25" s="17" t="s">
        <v>72</v>
      </c>
      <c r="C25" s="26">
        <v>7149262</v>
      </c>
      <c r="D25" s="10" t="s">
        <v>45</v>
      </c>
      <c r="E25" s="11" t="s">
        <v>4</v>
      </c>
      <c r="F25" s="10" t="s">
        <v>73</v>
      </c>
      <c r="G25" s="19">
        <v>147692.90700000001</v>
      </c>
      <c r="H25" t="s">
        <v>34</v>
      </c>
      <c r="I25" s="2">
        <v>1</v>
      </c>
      <c r="J25" s="7">
        <v>0</v>
      </c>
      <c r="K25" t="s">
        <v>34</v>
      </c>
      <c r="L25" t="b">
        <v>1</v>
      </c>
      <c r="M25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25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25">
        <f>ROW()</f>
        <v>25</v>
      </c>
    </row>
    <row r="26" spans="1:15" x14ac:dyDescent="0.35">
      <c r="A26" s="8">
        <v>45660</v>
      </c>
      <c r="B26" s="17" t="s">
        <v>74</v>
      </c>
      <c r="C26" s="26">
        <v>9328906</v>
      </c>
      <c r="D26" s="10" t="s">
        <v>75</v>
      </c>
      <c r="E26" s="11" t="s">
        <v>4</v>
      </c>
      <c r="F26" s="10" t="s">
        <v>76</v>
      </c>
      <c r="G26" s="19">
        <v>72069.733799999987</v>
      </c>
      <c r="H26" t="s">
        <v>34</v>
      </c>
      <c r="I26" s="2">
        <v>1</v>
      </c>
      <c r="J26" s="7">
        <v>0</v>
      </c>
      <c r="K26" t="s">
        <v>34</v>
      </c>
      <c r="L26" t="b">
        <v>1</v>
      </c>
      <c r="M26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26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26">
        <f>ROW()</f>
        <v>26</v>
      </c>
    </row>
    <row r="27" spans="1:15" x14ac:dyDescent="0.35">
      <c r="A27" s="8">
        <v>45660</v>
      </c>
      <c r="B27" s="17" t="s">
        <v>77</v>
      </c>
      <c r="C27" s="26">
        <v>46075</v>
      </c>
      <c r="D27" s="10" t="s">
        <v>45</v>
      </c>
      <c r="E27" s="11" t="s">
        <v>4</v>
      </c>
      <c r="F27" s="10" t="s">
        <v>78</v>
      </c>
      <c r="G27" s="19">
        <v>35657.7984</v>
      </c>
      <c r="H27" t="s">
        <v>34</v>
      </c>
      <c r="I27" s="2">
        <v>1</v>
      </c>
      <c r="J27" s="7">
        <v>2567.3616000000002</v>
      </c>
      <c r="K27" t="s">
        <v>34</v>
      </c>
      <c r="L27" t="b">
        <v>1</v>
      </c>
      <c r="M27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27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27">
        <f>ROW()</f>
        <v>27</v>
      </c>
    </row>
    <row r="28" spans="1:15" x14ac:dyDescent="0.35">
      <c r="A28" s="8">
        <v>45660</v>
      </c>
      <c r="B28" s="17" t="s">
        <v>79</v>
      </c>
      <c r="C28" s="26">
        <v>4564674</v>
      </c>
      <c r="D28" s="10" t="s">
        <v>53</v>
      </c>
      <c r="E28" s="11" t="s">
        <v>4</v>
      </c>
      <c r="F28" s="10" t="s">
        <v>80</v>
      </c>
      <c r="G28" s="19">
        <v>7727.9040000000005</v>
      </c>
      <c r="H28" t="s">
        <v>34</v>
      </c>
      <c r="I28" s="2">
        <v>1</v>
      </c>
      <c r="J28" s="7">
        <v>0</v>
      </c>
      <c r="K28" t="s">
        <v>34</v>
      </c>
      <c r="L28" t="b">
        <v>1</v>
      </c>
      <c r="M28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28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28">
        <f>ROW()</f>
        <v>28</v>
      </c>
    </row>
    <row r="29" spans="1:15" x14ac:dyDescent="0.35">
      <c r="A29" s="8">
        <v>45660</v>
      </c>
      <c r="B29" s="17" t="s">
        <v>81</v>
      </c>
      <c r="C29" s="26">
        <v>8727348</v>
      </c>
      <c r="D29" s="10" t="s">
        <v>11</v>
      </c>
      <c r="E29" s="11" t="s">
        <v>4</v>
      </c>
      <c r="F29" s="10" t="s">
        <v>82</v>
      </c>
      <c r="G29" s="19">
        <v>6209.5103999999992</v>
      </c>
      <c r="H29" t="s">
        <v>34</v>
      </c>
      <c r="I29" s="2">
        <v>1</v>
      </c>
      <c r="J29" s="7">
        <v>1117.7118</v>
      </c>
      <c r="K29" t="s">
        <v>34</v>
      </c>
      <c r="L29" t="b">
        <v>1</v>
      </c>
      <c r="M29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29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29">
        <f>ROW()</f>
        <v>29</v>
      </c>
    </row>
    <row r="30" spans="1:15" x14ac:dyDescent="0.35">
      <c r="A30" s="8">
        <v>45660</v>
      </c>
      <c r="B30" s="17" t="s">
        <v>83</v>
      </c>
      <c r="C30" s="26">
        <v>3035731</v>
      </c>
      <c r="D30" s="10" t="s">
        <v>53</v>
      </c>
      <c r="E30" s="11" t="s">
        <v>4</v>
      </c>
      <c r="F30" s="10" t="s">
        <v>80</v>
      </c>
      <c r="G30" s="19">
        <v>5956.5329999999994</v>
      </c>
      <c r="H30" t="s">
        <v>34</v>
      </c>
      <c r="I30" s="2">
        <v>1</v>
      </c>
      <c r="J30" s="7">
        <v>0</v>
      </c>
      <c r="K30" t="s">
        <v>34</v>
      </c>
      <c r="L30" t="b">
        <v>1</v>
      </c>
      <c r="M30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30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30">
        <f>ROW()</f>
        <v>30</v>
      </c>
    </row>
    <row r="31" spans="1:15" x14ac:dyDescent="0.35">
      <c r="A31" s="8">
        <v>45660</v>
      </c>
      <c r="B31" s="17" t="s">
        <v>84</v>
      </c>
      <c r="C31" s="26">
        <v>6273299</v>
      </c>
      <c r="D31" s="10" t="s">
        <v>53</v>
      </c>
      <c r="E31" s="11" t="s">
        <v>4</v>
      </c>
      <c r="F31" s="10" t="s">
        <v>85</v>
      </c>
      <c r="G31" s="19">
        <v>5164.8912</v>
      </c>
      <c r="H31" t="s">
        <v>34</v>
      </c>
      <c r="I31" s="2">
        <v>1</v>
      </c>
      <c r="J31" s="7">
        <v>578.46780000000001</v>
      </c>
      <c r="K31" t="s">
        <v>34</v>
      </c>
      <c r="L31" t="b">
        <v>1</v>
      </c>
      <c r="M31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31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31">
        <f>ROW()</f>
        <v>31</v>
      </c>
    </row>
    <row r="32" spans="1:15" x14ac:dyDescent="0.35">
      <c r="A32" s="8">
        <v>45660</v>
      </c>
      <c r="B32" s="17" t="s">
        <v>86</v>
      </c>
      <c r="C32" s="26">
        <v>4257263</v>
      </c>
      <c r="D32" s="10"/>
      <c r="E32" s="11" t="s">
        <v>4</v>
      </c>
      <c r="F32" s="10" t="s">
        <v>87</v>
      </c>
      <c r="G32" s="19">
        <v>4329.9341999999997</v>
      </c>
      <c r="H32" t="s">
        <v>34</v>
      </c>
      <c r="I32" s="2">
        <v>1</v>
      </c>
      <c r="J32" s="7">
        <v>415.67399999999998</v>
      </c>
      <c r="K32" t="s">
        <v>34</v>
      </c>
      <c r="L32" t="b">
        <v>1</v>
      </c>
      <c r="M32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32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>Wrong COO</v>
      </c>
      <c r="O32">
        <f>ROW()</f>
        <v>32</v>
      </c>
    </row>
    <row r="33" spans="1:15" x14ac:dyDescent="0.35">
      <c r="A33" s="8">
        <v>45660</v>
      </c>
      <c r="B33" s="17" t="s">
        <v>88</v>
      </c>
      <c r="C33" s="26">
        <v>5494039</v>
      </c>
      <c r="D33" s="10"/>
      <c r="E33" s="11" t="s">
        <v>4</v>
      </c>
      <c r="F33" s="10" t="s">
        <v>89</v>
      </c>
      <c r="G33" s="19">
        <v>3129.0210000000002</v>
      </c>
      <c r="H33" t="s">
        <v>34</v>
      </c>
      <c r="I33" s="2">
        <v>1</v>
      </c>
      <c r="J33" s="7">
        <v>300.38580000000002</v>
      </c>
      <c r="K33" t="s">
        <v>34</v>
      </c>
      <c r="L33" t="b">
        <v>1</v>
      </c>
      <c r="M33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33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>Wrong COO</v>
      </c>
      <c r="O33">
        <f>ROW()</f>
        <v>33</v>
      </c>
    </row>
    <row r="34" spans="1:15" x14ac:dyDescent="0.35">
      <c r="A34" s="8">
        <v>45660</v>
      </c>
      <c r="B34" s="17" t="s">
        <v>90</v>
      </c>
      <c r="C34" s="26">
        <v>5006235</v>
      </c>
      <c r="D34" s="10" t="s">
        <v>53</v>
      </c>
      <c r="E34" s="11" t="s">
        <v>4</v>
      </c>
      <c r="F34" s="10" t="s">
        <v>91</v>
      </c>
      <c r="G34" s="19">
        <v>2543.328</v>
      </c>
      <c r="H34" t="s">
        <v>34</v>
      </c>
      <c r="I34" s="2">
        <v>1</v>
      </c>
      <c r="J34" s="7">
        <v>0</v>
      </c>
      <c r="K34" t="s">
        <v>34</v>
      </c>
      <c r="L34" t="b">
        <v>0</v>
      </c>
      <c r="M34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34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34">
        <f>ROW()</f>
        <v>34</v>
      </c>
    </row>
    <row r="35" spans="1:15" x14ac:dyDescent="0.35">
      <c r="A35" s="8">
        <v>45660</v>
      </c>
      <c r="B35" s="17" t="s">
        <v>92</v>
      </c>
      <c r="C35" s="26">
        <v>7821978</v>
      </c>
      <c r="D35" s="10" t="s">
        <v>53</v>
      </c>
      <c r="E35" s="11" t="s">
        <v>4</v>
      </c>
      <c r="F35" s="10" t="s">
        <v>93</v>
      </c>
      <c r="G35" s="19">
        <v>2304.5039999999999</v>
      </c>
      <c r="H35" t="s">
        <v>34</v>
      </c>
      <c r="I35" s="2">
        <v>1</v>
      </c>
      <c r="J35" s="7">
        <v>290.36700000000002</v>
      </c>
      <c r="K35" t="s">
        <v>34</v>
      </c>
      <c r="L35" t="b">
        <v>0</v>
      </c>
      <c r="M35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35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35">
        <f>ROW()</f>
        <v>35</v>
      </c>
    </row>
    <row r="36" spans="1:15" x14ac:dyDescent="0.35">
      <c r="A36" s="8">
        <v>45660</v>
      </c>
      <c r="B36" s="17" t="s">
        <v>94</v>
      </c>
      <c r="C36" s="26">
        <v>787898</v>
      </c>
      <c r="D36" s="10" t="s">
        <v>53</v>
      </c>
      <c r="E36" s="11" t="s">
        <v>4</v>
      </c>
      <c r="F36" s="10" t="s">
        <v>80</v>
      </c>
      <c r="G36" s="19">
        <v>2206.9349999999999</v>
      </c>
      <c r="H36" t="s">
        <v>34</v>
      </c>
      <c r="I36" s="2">
        <v>1</v>
      </c>
      <c r="J36" s="7">
        <v>0</v>
      </c>
      <c r="K36" t="s">
        <v>34</v>
      </c>
      <c r="L36" t="b">
        <v>0</v>
      </c>
      <c r="M36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36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36">
        <f>ROW()</f>
        <v>36</v>
      </c>
    </row>
    <row r="37" spans="1:15" x14ac:dyDescent="0.35">
      <c r="A37" s="8">
        <v>45660</v>
      </c>
      <c r="B37" s="17" t="s">
        <v>95</v>
      </c>
      <c r="C37" s="26">
        <v>7329996</v>
      </c>
      <c r="D37" s="10"/>
      <c r="E37" s="11" t="s">
        <v>4</v>
      </c>
      <c r="F37" s="10" t="s">
        <v>96</v>
      </c>
      <c r="G37" s="19">
        <v>1991.1366</v>
      </c>
      <c r="H37" t="s">
        <v>34</v>
      </c>
      <c r="I37" s="2">
        <v>1</v>
      </c>
      <c r="J37" s="7">
        <v>358.40519999999998</v>
      </c>
      <c r="K37" t="s">
        <v>34</v>
      </c>
      <c r="L37" t="b">
        <v>1</v>
      </c>
      <c r="M37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37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>Wrong COO</v>
      </c>
      <c r="O37">
        <f>ROW()</f>
        <v>37</v>
      </c>
    </row>
    <row r="38" spans="1:15" x14ac:dyDescent="0.35">
      <c r="A38" s="8">
        <v>45660</v>
      </c>
      <c r="B38" s="17" t="s">
        <v>97</v>
      </c>
      <c r="C38" s="26">
        <v>2488412</v>
      </c>
      <c r="D38" s="10" t="s">
        <v>6</v>
      </c>
      <c r="E38" s="11" t="s">
        <v>4</v>
      </c>
      <c r="F38" s="10" t="s">
        <v>98</v>
      </c>
      <c r="G38" s="19">
        <v>1224.9846</v>
      </c>
      <c r="H38" t="s">
        <v>34</v>
      </c>
      <c r="I38" s="2">
        <v>1</v>
      </c>
      <c r="J38" s="7">
        <v>198.44820000000001</v>
      </c>
      <c r="K38" t="s">
        <v>34</v>
      </c>
      <c r="L38" t="b">
        <v>0</v>
      </c>
      <c r="M38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38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38">
        <f>ROW()</f>
        <v>38</v>
      </c>
    </row>
    <row r="39" spans="1:15" x14ac:dyDescent="0.35">
      <c r="A39" s="8">
        <v>45660</v>
      </c>
      <c r="B39" s="17" t="s">
        <v>99</v>
      </c>
      <c r="C39" s="26">
        <v>5675174</v>
      </c>
      <c r="D39" s="10"/>
      <c r="E39" s="11" t="s">
        <v>4</v>
      </c>
      <c r="F39" s="10" t="s">
        <v>100</v>
      </c>
      <c r="G39" s="19">
        <v>1101.6612</v>
      </c>
      <c r="H39" t="s">
        <v>34</v>
      </c>
      <c r="I39" s="2">
        <v>1</v>
      </c>
      <c r="J39" s="7">
        <v>105.759</v>
      </c>
      <c r="K39" t="s">
        <v>34</v>
      </c>
      <c r="L39" t="b">
        <v>1</v>
      </c>
      <c r="M39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39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>Wrong COO</v>
      </c>
      <c r="O39">
        <f>ROW()</f>
        <v>39</v>
      </c>
    </row>
    <row r="40" spans="1:15" x14ac:dyDescent="0.35">
      <c r="A40" s="8">
        <v>45660</v>
      </c>
      <c r="B40" s="17" t="s">
        <v>101</v>
      </c>
      <c r="C40" s="26">
        <v>8253838</v>
      </c>
      <c r="D40" s="10"/>
      <c r="E40" s="11" t="s">
        <v>4</v>
      </c>
      <c r="F40" s="10" t="s">
        <v>100</v>
      </c>
      <c r="G40" s="19">
        <v>898.88580000000002</v>
      </c>
      <c r="H40" t="s">
        <v>34</v>
      </c>
      <c r="I40" s="2">
        <v>1</v>
      </c>
      <c r="J40" s="7">
        <v>86.293800000000005</v>
      </c>
      <c r="K40" t="s">
        <v>34</v>
      </c>
      <c r="L40" t="b">
        <v>1</v>
      </c>
      <c r="M40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40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>Wrong COO</v>
      </c>
      <c r="O40">
        <f>ROW()</f>
        <v>40</v>
      </c>
    </row>
    <row r="41" spans="1:15" x14ac:dyDescent="0.35">
      <c r="A41" s="8">
        <v>45660</v>
      </c>
      <c r="B41" s="17" t="s">
        <v>102</v>
      </c>
      <c r="C41" s="26">
        <v>7091140</v>
      </c>
      <c r="D41" s="10" t="s">
        <v>53</v>
      </c>
      <c r="E41" s="11" t="s">
        <v>4</v>
      </c>
      <c r="F41" s="10" t="s">
        <v>91</v>
      </c>
      <c r="G41" s="19">
        <v>847.77659999999992</v>
      </c>
      <c r="H41" t="s">
        <v>34</v>
      </c>
      <c r="I41" s="2">
        <v>1</v>
      </c>
      <c r="J41" s="7">
        <v>0</v>
      </c>
      <c r="K41" t="s">
        <v>34</v>
      </c>
      <c r="L41" t="b">
        <v>1</v>
      </c>
      <c r="M41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41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41">
        <f>ROW()</f>
        <v>41</v>
      </c>
    </row>
    <row r="42" spans="1:15" x14ac:dyDescent="0.35">
      <c r="A42" s="8">
        <v>45660</v>
      </c>
      <c r="B42" s="17" t="s">
        <v>103</v>
      </c>
      <c r="C42" s="26">
        <v>9976629</v>
      </c>
      <c r="D42" s="10" t="s">
        <v>53</v>
      </c>
      <c r="E42" s="11" t="s">
        <v>4</v>
      </c>
      <c r="F42" s="10" t="s">
        <v>91</v>
      </c>
      <c r="G42" s="19">
        <v>847.77300000000002</v>
      </c>
      <c r="H42" t="s">
        <v>34</v>
      </c>
      <c r="I42" s="2">
        <v>1</v>
      </c>
      <c r="J42" s="7">
        <v>0</v>
      </c>
      <c r="K42" t="s">
        <v>34</v>
      </c>
      <c r="L42" t="b">
        <v>1</v>
      </c>
      <c r="M42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42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42">
        <f>ROW()</f>
        <v>42</v>
      </c>
    </row>
    <row r="43" spans="1:15" x14ac:dyDescent="0.35">
      <c r="A43" s="8">
        <v>45660</v>
      </c>
      <c r="B43" s="17" t="s">
        <v>104</v>
      </c>
      <c r="C43" s="26">
        <v>3518187</v>
      </c>
      <c r="D43" s="10" t="s">
        <v>53</v>
      </c>
      <c r="E43" s="11" t="s">
        <v>4</v>
      </c>
      <c r="F43" s="10" t="s">
        <v>105</v>
      </c>
      <c r="G43" s="19">
        <v>677.12760000000003</v>
      </c>
      <c r="H43" t="s">
        <v>34</v>
      </c>
      <c r="I43" s="2">
        <v>1</v>
      </c>
      <c r="J43" s="7">
        <v>108.3402</v>
      </c>
      <c r="K43" t="s">
        <v>34</v>
      </c>
      <c r="L43" t="b">
        <v>1</v>
      </c>
      <c r="M43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43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43">
        <f>ROW()</f>
        <v>43</v>
      </c>
    </row>
    <row r="44" spans="1:15" x14ac:dyDescent="0.35">
      <c r="A44" s="8">
        <v>45660</v>
      </c>
      <c r="B44" s="17" t="s">
        <v>106</v>
      </c>
      <c r="C44" s="26">
        <v>3069175</v>
      </c>
      <c r="D44" s="10" t="s">
        <v>53</v>
      </c>
      <c r="E44" s="11" t="s">
        <v>4</v>
      </c>
      <c r="F44" s="10" t="s">
        <v>87</v>
      </c>
      <c r="G44" s="19">
        <v>531.67139999999995</v>
      </c>
      <c r="H44" t="s">
        <v>34</v>
      </c>
      <c r="I44" s="2">
        <v>1</v>
      </c>
      <c r="J44" s="7">
        <v>51.040799999999997</v>
      </c>
      <c r="K44" t="s">
        <v>34</v>
      </c>
      <c r="L44" t="b">
        <v>1</v>
      </c>
      <c r="M44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44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44">
        <f>ROW()</f>
        <v>44</v>
      </c>
    </row>
    <row r="45" spans="1:15" x14ac:dyDescent="0.35">
      <c r="A45" s="8">
        <v>45660</v>
      </c>
      <c r="B45" s="17" t="s">
        <v>107</v>
      </c>
      <c r="C45" s="26">
        <v>9481601</v>
      </c>
      <c r="D45" s="10"/>
      <c r="E45" s="11" t="s">
        <v>4</v>
      </c>
      <c r="F45" s="10" t="s">
        <v>108</v>
      </c>
      <c r="G45" s="19">
        <v>508.7106</v>
      </c>
      <c r="H45" t="s">
        <v>34</v>
      </c>
      <c r="I45" s="2">
        <v>1</v>
      </c>
      <c r="J45" s="7">
        <v>64.097999999999999</v>
      </c>
      <c r="K45" t="s">
        <v>34</v>
      </c>
      <c r="L45" t="b">
        <v>1</v>
      </c>
      <c r="M45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45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>Wrong COO</v>
      </c>
      <c r="O45">
        <f>ROW()</f>
        <v>45</v>
      </c>
    </row>
    <row r="46" spans="1:15" x14ac:dyDescent="0.35">
      <c r="A46" s="8">
        <v>45660</v>
      </c>
      <c r="B46" s="17" t="s">
        <v>109</v>
      </c>
      <c r="C46" s="26">
        <v>6273350</v>
      </c>
      <c r="D46" s="10" t="s">
        <v>11</v>
      </c>
      <c r="E46" s="11" t="s">
        <v>4</v>
      </c>
      <c r="F46" s="10" t="s">
        <v>100</v>
      </c>
      <c r="G46" s="19">
        <v>470.03399999999999</v>
      </c>
      <c r="H46" t="s">
        <v>34</v>
      </c>
      <c r="I46" s="2">
        <v>1</v>
      </c>
      <c r="J46" s="7">
        <v>45.122399999999999</v>
      </c>
      <c r="K46" t="s">
        <v>34</v>
      </c>
      <c r="L46" t="b">
        <v>1</v>
      </c>
      <c r="M46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46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46">
        <f>ROW()</f>
        <v>46</v>
      </c>
    </row>
    <row r="47" spans="1:15" x14ac:dyDescent="0.35">
      <c r="A47" s="8">
        <v>45660</v>
      </c>
      <c r="B47" s="17" t="s">
        <v>110</v>
      </c>
      <c r="C47" s="26">
        <v>2421974</v>
      </c>
      <c r="D47" s="10"/>
      <c r="E47" s="11" t="s">
        <v>4</v>
      </c>
      <c r="F47" s="10" t="s">
        <v>111</v>
      </c>
      <c r="G47" s="19">
        <v>436.58819999999997</v>
      </c>
      <c r="H47" t="s">
        <v>34</v>
      </c>
      <c r="I47" s="2">
        <v>1</v>
      </c>
      <c r="J47" s="7">
        <v>41.912999999999997</v>
      </c>
      <c r="K47" t="s">
        <v>34</v>
      </c>
      <c r="L47" t="b">
        <v>1</v>
      </c>
      <c r="M47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47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>Wrong COO</v>
      </c>
      <c r="O47">
        <f>ROW()</f>
        <v>47</v>
      </c>
    </row>
    <row r="48" spans="1:15" x14ac:dyDescent="0.35">
      <c r="A48" s="8">
        <v>45660</v>
      </c>
      <c r="B48" s="17" t="s">
        <v>112</v>
      </c>
      <c r="C48" s="26">
        <v>9639763</v>
      </c>
      <c r="D48" s="10" t="s">
        <v>45</v>
      </c>
      <c r="E48" s="11" t="s">
        <v>4</v>
      </c>
      <c r="F48" s="10" t="s">
        <v>113</v>
      </c>
      <c r="G48" s="19">
        <v>283.06439999999998</v>
      </c>
      <c r="H48" t="s">
        <v>34</v>
      </c>
      <c r="I48" s="2">
        <v>1</v>
      </c>
      <c r="J48" s="7">
        <v>0</v>
      </c>
      <c r="K48" t="s">
        <v>34</v>
      </c>
      <c r="L48" t="b">
        <v>1</v>
      </c>
      <c r="M48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48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48">
        <f>ROW()</f>
        <v>48</v>
      </c>
    </row>
    <row r="49" spans="1:15" x14ac:dyDescent="0.35">
      <c r="A49" s="8">
        <v>45660</v>
      </c>
      <c r="B49" s="17" t="s">
        <v>114</v>
      </c>
      <c r="C49" s="26">
        <v>3009012</v>
      </c>
      <c r="D49" s="10" t="s">
        <v>53</v>
      </c>
      <c r="E49" s="11" t="s">
        <v>4</v>
      </c>
      <c r="F49" s="10" t="s">
        <v>115</v>
      </c>
      <c r="G49" s="19">
        <v>273.95100000000002</v>
      </c>
      <c r="H49" t="s">
        <v>34</v>
      </c>
      <c r="I49" s="2">
        <v>1</v>
      </c>
      <c r="J49" s="7">
        <v>34.518599999999999</v>
      </c>
      <c r="K49" t="s">
        <v>34</v>
      </c>
      <c r="L49" t="b">
        <v>1</v>
      </c>
      <c r="M49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49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49">
        <f>ROW()</f>
        <v>49</v>
      </c>
    </row>
    <row r="50" spans="1:15" x14ac:dyDescent="0.35">
      <c r="A50" s="8">
        <v>45660</v>
      </c>
      <c r="B50" s="17" t="s">
        <v>116</v>
      </c>
      <c r="C50" s="26">
        <v>1592962</v>
      </c>
      <c r="D50" s="10" t="s">
        <v>11</v>
      </c>
      <c r="E50" s="11" t="s">
        <v>4</v>
      </c>
      <c r="F50" s="10" t="s">
        <v>80</v>
      </c>
      <c r="G50" s="19">
        <v>235.45079999999999</v>
      </c>
      <c r="H50" t="s">
        <v>34</v>
      </c>
      <c r="I50" s="2">
        <v>1</v>
      </c>
      <c r="J50" s="7">
        <v>0</v>
      </c>
      <c r="K50" t="s">
        <v>34</v>
      </c>
      <c r="L50" t="b">
        <v>1</v>
      </c>
      <c r="M50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50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50">
        <f>ROW()</f>
        <v>50</v>
      </c>
    </row>
    <row r="51" spans="1:15" x14ac:dyDescent="0.35">
      <c r="A51" s="8">
        <v>45660</v>
      </c>
      <c r="B51" s="17" t="s">
        <v>117</v>
      </c>
      <c r="C51" s="26">
        <v>222847</v>
      </c>
      <c r="D51" s="10" t="s">
        <v>11</v>
      </c>
      <c r="E51" s="11" t="s">
        <v>4</v>
      </c>
      <c r="F51" s="10" t="s">
        <v>100</v>
      </c>
      <c r="G51" s="19">
        <v>158.69159999999999</v>
      </c>
      <c r="H51" t="s">
        <v>34</v>
      </c>
      <c r="I51" s="2">
        <v>1</v>
      </c>
      <c r="J51" s="7">
        <v>15.235200000000001</v>
      </c>
      <c r="K51" t="s">
        <v>34</v>
      </c>
      <c r="L51" t="b">
        <v>1</v>
      </c>
      <c r="M51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51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51">
        <f>ROW()</f>
        <v>51</v>
      </c>
    </row>
    <row r="52" spans="1:15" x14ac:dyDescent="0.35">
      <c r="A52" s="8">
        <v>45660</v>
      </c>
      <c r="B52" s="17" t="s">
        <v>118</v>
      </c>
      <c r="C52" s="26">
        <v>2679664</v>
      </c>
      <c r="D52" s="10"/>
      <c r="E52" s="11" t="s">
        <v>4</v>
      </c>
      <c r="F52" s="10" t="s">
        <v>100</v>
      </c>
      <c r="G52" s="19">
        <v>77.42519999999999</v>
      </c>
      <c r="H52" t="s">
        <v>34</v>
      </c>
      <c r="I52" s="2">
        <v>1</v>
      </c>
      <c r="J52" s="7">
        <v>7.4321999999999999</v>
      </c>
      <c r="K52" t="s">
        <v>34</v>
      </c>
      <c r="L52" t="b">
        <v>1</v>
      </c>
      <c r="M52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52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>Wrong COO</v>
      </c>
      <c r="O52">
        <f>ROW()</f>
        <v>52</v>
      </c>
    </row>
    <row r="53" spans="1:15" x14ac:dyDescent="0.35">
      <c r="A53" s="8">
        <v>45660</v>
      </c>
      <c r="B53" s="17" t="s">
        <v>119</v>
      </c>
      <c r="C53" s="26">
        <v>3490296</v>
      </c>
      <c r="D53" s="10" t="s">
        <v>53</v>
      </c>
      <c r="E53" s="11" t="s">
        <v>4</v>
      </c>
      <c r="F53" s="10" t="s">
        <v>120</v>
      </c>
      <c r="G53" s="19">
        <v>69.852599999999995</v>
      </c>
      <c r="H53" t="s">
        <v>34</v>
      </c>
      <c r="I53" s="2">
        <v>1</v>
      </c>
      <c r="J53" s="7">
        <v>12.573</v>
      </c>
      <c r="K53" t="s">
        <v>34</v>
      </c>
      <c r="L53" t="b">
        <v>1</v>
      </c>
      <c r="M53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53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53">
        <f>ROW()</f>
        <v>53</v>
      </c>
    </row>
    <row r="54" spans="1:15" x14ac:dyDescent="0.35">
      <c r="A54" s="8">
        <v>45660</v>
      </c>
      <c r="B54" s="17" t="s">
        <v>121</v>
      </c>
      <c r="C54" s="26">
        <v>885454</v>
      </c>
      <c r="D54" s="10"/>
      <c r="E54" s="11" t="s">
        <v>4</v>
      </c>
      <c r="F54" s="10" t="s">
        <v>87</v>
      </c>
      <c r="G54" s="19">
        <v>68.588999999999999</v>
      </c>
      <c r="H54" t="s">
        <v>34</v>
      </c>
      <c r="I54" s="2">
        <v>1</v>
      </c>
      <c r="J54" s="7">
        <v>6.5843999999999996</v>
      </c>
      <c r="K54" t="s">
        <v>34</v>
      </c>
      <c r="L54" t="b">
        <v>1</v>
      </c>
      <c r="M54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54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>Wrong COO</v>
      </c>
      <c r="O54">
        <f>ROW()</f>
        <v>54</v>
      </c>
    </row>
    <row r="55" spans="1:15" x14ac:dyDescent="0.35">
      <c r="A55" s="8">
        <v>45660</v>
      </c>
      <c r="B55" s="17" t="s">
        <v>122</v>
      </c>
      <c r="C55" s="26">
        <v>8905742</v>
      </c>
      <c r="D55" s="10" t="s">
        <v>45</v>
      </c>
      <c r="E55" s="11" t="s">
        <v>6</v>
      </c>
      <c r="F55" s="10" t="s">
        <v>123</v>
      </c>
      <c r="G55" s="19">
        <v>7304260.7734806631</v>
      </c>
      <c r="H55" t="s">
        <v>34</v>
      </c>
      <c r="I55" s="2">
        <v>1</v>
      </c>
      <c r="J55" s="7">
        <v>0</v>
      </c>
      <c r="K55" t="s">
        <v>34</v>
      </c>
      <c r="L55" t="b">
        <v>1</v>
      </c>
      <c r="M55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55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55">
        <f>ROW()</f>
        <v>55</v>
      </c>
    </row>
    <row r="56" spans="1:15" x14ac:dyDescent="0.35">
      <c r="A56" s="8">
        <v>45660</v>
      </c>
      <c r="B56" s="17" t="s">
        <v>124</v>
      </c>
      <c r="C56" s="26">
        <v>598931</v>
      </c>
      <c r="D56" s="10" t="s">
        <v>45</v>
      </c>
      <c r="E56" s="11" t="s">
        <v>6</v>
      </c>
      <c r="F56" s="10" t="s">
        <v>46</v>
      </c>
      <c r="G56" s="19">
        <v>1566229.9309668511</v>
      </c>
      <c r="H56" t="s">
        <v>34</v>
      </c>
      <c r="I56" s="2">
        <v>1</v>
      </c>
      <c r="J56" s="7">
        <v>0</v>
      </c>
      <c r="K56" t="s">
        <v>34</v>
      </c>
      <c r="L56" t="b">
        <v>1</v>
      </c>
      <c r="M56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56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56">
        <f>ROW()</f>
        <v>56</v>
      </c>
    </row>
    <row r="57" spans="1:15" x14ac:dyDescent="0.35">
      <c r="A57" s="8">
        <v>45660</v>
      </c>
      <c r="B57" s="17" t="s">
        <v>125</v>
      </c>
      <c r="C57" s="26">
        <v>4576937</v>
      </c>
      <c r="D57" s="10" t="s">
        <v>4</v>
      </c>
      <c r="E57" s="11" t="s">
        <v>7</v>
      </c>
      <c r="F57" s="10" t="s">
        <v>126</v>
      </c>
      <c r="G57" s="19">
        <v>322834.28000000003</v>
      </c>
      <c r="H57" t="s">
        <v>34</v>
      </c>
      <c r="I57" s="2">
        <v>1</v>
      </c>
      <c r="J57" s="7">
        <v>33904.262707200003</v>
      </c>
      <c r="K57" t="s">
        <v>34</v>
      </c>
      <c r="L57" t="b">
        <v>0</v>
      </c>
      <c r="M57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57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57">
        <f>ROW()</f>
        <v>57</v>
      </c>
    </row>
    <row r="58" spans="1:15" x14ac:dyDescent="0.35">
      <c r="A58" s="8">
        <v>45660</v>
      </c>
      <c r="B58" s="17" t="s">
        <v>127</v>
      </c>
      <c r="C58" s="26">
        <v>4807666</v>
      </c>
      <c r="D58" s="10" t="s">
        <v>4</v>
      </c>
      <c r="E58" s="11" t="s">
        <v>7</v>
      </c>
      <c r="F58" s="10" t="s">
        <v>126</v>
      </c>
      <c r="G58" s="19">
        <v>314920.93</v>
      </c>
      <c r="H58" t="s">
        <v>34</v>
      </c>
      <c r="I58" s="2">
        <v>1</v>
      </c>
      <c r="J58" s="7">
        <v>33073.197345599998</v>
      </c>
      <c r="K58" t="s">
        <v>34</v>
      </c>
      <c r="L58" t="b">
        <v>0</v>
      </c>
      <c r="M58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58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58">
        <f>ROW()</f>
        <v>58</v>
      </c>
    </row>
    <row r="59" spans="1:15" x14ac:dyDescent="0.35">
      <c r="A59" s="8">
        <v>45660</v>
      </c>
      <c r="B59" s="17" t="s">
        <v>128</v>
      </c>
      <c r="C59" s="26">
        <v>602989</v>
      </c>
      <c r="D59" s="10" t="s">
        <v>45</v>
      </c>
      <c r="E59" s="11" t="s">
        <v>7</v>
      </c>
      <c r="F59" s="10" t="s">
        <v>129</v>
      </c>
      <c r="G59" s="19">
        <v>154817.28</v>
      </c>
      <c r="H59" t="s">
        <v>34</v>
      </c>
      <c r="I59" s="2">
        <v>1</v>
      </c>
      <c r="J59" s="7">
        <v>0</v>
      </c>
      <c r="K59" t="s">
        <v>34</v>
      </c>
      <c r="L59" t="b">
        <v>0</v>
      </c>
      <c r="M59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59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59">
        <f>ROW()</f>
        <v>59</v>
      </c>
    </row>
    <row r="60" spans="1:15" x14ac:dyDescent="0.35">
      <c r="A60" s="8">
        <v>45660</v>
      </c>
      <c r="B60" s="17" t="s">
        <v>130</v>
      </c>
      <c r="C60" s="26">
        <v>9066081</v>
      </c>
      <c r="D60" s="10" t="s">
        <v>45</v>
      </c>
      <c r="E60" s="11" t="s">
        <v>7</v>
      </c>
      <c r="F60" s="10" t="s">
        <v>131</v>
      </c>
      <c r="G60" s="19">
        <v>11064.75</v>
      </c>
      <c r="H60" t="s">
        <v>34</v>
      </c>
      <c r="I60" s="2">
        <v>1</v>
      </c>
      <c r="J60" s="7">
        <v>0</v>
      </c>
      <c r="K60" t="s">
        <v>34</v>
      </c>
      <c r="L60" t="b">
        <v>0</v>
      </c>
      <c r="M60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60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60">
        <f>ROW()</f>
        <v>60</v>
      </c>
    </row>
    <row r="61" spans="1:15" x14ac:dyDescent="0.35">
      <c r="A61" s="8">
        <v>45660</v>
      </c>
      <c r="B61" s="17" t="s">
        <v>132</v>
      </c>
      <c r="C61" s="26">
        <v>7477616</v>
      </c>
      <c r="D61" s="10" t="s">
        <v>45</v>
      </c>
      <c r="E61" s="11" t="s">
        <v>11</v>
      </c>
      <c r="F61" s="10" t="s">
        <v>133</v>
      </c>
      <c r="G61" s="19">
        <v>105216000</v>
      </c>
      <c r="H61" t="s">
        <v>34</v>
      </c>
      <c r="I61" s="2">
        <v>1</v>
      </c>
      <c r="J61" s="7">
        <v>0</v>
      </c>
      <c r="K61" t="s">
        <v>34</v>
      </c>
      <c r="L61" t="b">
        <v>1</v>
      </c>
      <c r="M61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61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>High Customs Value</v>
      </c>
      <c r="O61">
        <f>ROW()</f>
        <v>61</v>
      </c>
    </row>
    <row r="62" spans="1:15" x14ac:dyDescent="0.35">
      <c r="A62" s="8">
        <v>45661</v>
      </c>
      <c r="B62" s="17" t="s">
        <v>134</v>
      </c>
      <c r="C62" s="26">
        <v>6043347</v>
      </c>
      <c r="D62" s="10" t="s">
        <v>45</v>
      </c>
      <c r="E62" s="11" t="s">
        <v>13</v>
      </c>
      <c r="F62" s="10" t="s">
        <v>135</v>
      </c>
      <c r="G62" s="19">
        <v>1306638.3130000001</v>
      </c>
      <c r="H62" t="s">
        <v>34</v>
      </c>
      <c r="I62" s="2">
        <v>1</v>
      </c>
      <c r="J62" s="7">
        <v>130663.83130000001</v>
      </c>
      <c r="K62" t="s">
        <v>34</v>
      </c>
      <c r="L62" t="b">
        <v>1</v>
      </c>
      <c r="M62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62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62">
        <f>ROW()</f>
        <v>62</v>
      </c>
    </row>
    <row r="63" spans="1:15" x14ac:dyDescent="0.35">
      <c r="A63" s="8">
        <v>45662</v>
      </c>
      <c r="B63" s="17" t="s">
        <v>136</v>
      </c>
      <c r="C63" s="26">
        <v>3513841</v>
      </c>
      <c r="D63" s="10" t="s">
        <v>45</v>
      </c>
      <c r="E63" s="11" t="s">
        <v>13</v>
      </c>
      <c r="F63" s="10" t="s">
        <v>68</v>
      </c>
      <c r="G63" s="19">
        <v>26114.400000000001</v>
      </c>
      <c r="H63" t="s">
        <v>34</v>
      </c>
      <c r="I63" s="2">
        <v>1</v>
      </c>
      <c r="J63" s="7">
        <v>2611.44</v>
      </c>
      <c r="K63" t="s">
        <v>34</v>
      </c>
      <c r="L63" t="b">
        <v>1</v>
      </c>
      <c r="M63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63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63">
        <f>ROW()</f>
        <v>63</v>
      </c>
    </row>
    <row r="64" spans="1:15" x14ac:dyDescent="0.35">
      <c r="A64" s="8">
        <v>45662</v>
      </c>
      <c r="B64" s="17" t="s">
        <v>137</v>
      </c>
      <c r="C64" s="26">
        <v>7931775</v>
      </c>
      <c r="D64" s="10" t="s">
        <v>138</v>
      </c>
      <c r="E64" s="11" t="s">
        <v>13</v>
      </c>
      <c r="F64" s="10" t="s">
        <v>139</v>
      </c>
      <c r="G64" s="19">
        <v>10962.468000000001</v>
      </c>
      <c r="H64" t="s">
        <v>34</v>
      </c>
      <c r="I64" s="2">
        <v>1</v>
      </c>
      <c r="J64" s="7">
        <v>0</v>
      </c>
      <c r="K64" t="s">
        <v>34</v>
      </c>
      <c r="L64" t="b">
        <v>1</v>
      </c>
      <c r="M64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64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64">
        <f>ROW()</f>
        <v>64</v>
      </c>
    </row>
    <row r="65" spans="1:15" x14ac:dyDescent="0.35">
      <c r="A65" s="8">
        <v>45662</v>
      </c>
      <c r="B65" s="17" t="s">
        <v>140</v>
      </c>
      <c r="C65" s="26">
        <v>1194487</v>
      </c>
      <c r="D65" s="10" t="s">
        <v>138</v>
      </c>
      <c r="E65" s="11" t="s">
        <v>13</v>
      </c>
      <c r="F65" s="10" t="s">
        <v>139</v>
      </c>
      <c r="G65" s="19">
        <v>7308.3119999999999</v>
      </c>
      <c r="H65" t="s">
        <v>34</v>
      </c>
      <c r="I65" s="2">
        <v>1</v>
      </c>
      <c r="J65" s="7">
        <v>0</v>
      </c>
      <c r="K65" t="s">
        <v>34</v>
      </c>
      <c r="L65" t="b">
        <v>1</v>
      </c>
      <c r="M65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65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65">
        <f>ROW()</f>
        <v>65</v>
      </c>
    </row>
    <row r="66" spans="1:15" x14ac:dyDescent="0.35">
      <c r="A66" s="8">
        <v>45662</v>
      </c>
      <c r="B66" s="17" t="s">
        <v>141</v>
      </c>
      <c r="C66" s="26">
        <v>1639120</v>
      </c>
      <c r="D66" s="10" t="s">
        <v>138</v>
      </c>
      <c r="E66" s="11" t="s">
        <v>13</v>
      </c>
      <c r="F66" s="10" t="s">
        <v>139</v>
      </c>
      <c r="G66" s="19">
        <v>7308.2790000000005</v>
      </c>
      <c r="H66" t="s">
        <v>34</v>
      </c>
      <c r="I66" s="2">
        <v>1</v>
      </c>
      <c r="J66" s="7">
        <v>0</v>
      </c>
      <c r="K66" t="s">
        <v>34</v>
      </c>
      <c r="L66" t="b">
        <v>1</v>
      </c>
      <c r="M66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66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66">
        <f>ROW()</f>
        <v>66</v>
      </c>
    </row>
    <row r="67" spans="1:15" x14ac:dyDescent="0.35">
      <c r="A67" s="8">
        <v>45662</v>
      </c>
      <c r="B67" s="17" t="s">
        <v>142</v>
      </c>
      <c r="C67" s="26">
        <v>3682462</v>
      </c>
      <c r="D67" s="10" t="s">
        <v>138</v>
      </c>
      <c r="E67" s="11" t="s">
        <v>13</v>
      </c>
      <c r="F67" s="10" t="s">
        <v>139</v>
      </c>
      <c r="G67" s="19">
        <v>5481.2340000000004</v>
      </c>
      <c r="H67" t="s">
        <v>34</v>
      </c>
      <c r="I67" s="2">
        <v>1</v>
      </c>
      <c r="J67" s="7">
        <v>0</v>
      </c>
      <c r="K67" t="s">
        <v>34</v>
      </c>
      <c r="L67" t="b">
        <v>1</v>
      </c>
      <c r="M67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67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67">
        <f>ROW()</f>
        <v>67</v>
      </c>
    </row>
    <row r="68" spans="1:15" x14ac:dyDescent="0.35">
      <c r="A68" s="8">
        <v>45662</v>
      </c>
      <c r="B68" s="17" t="s">
        <v>143</v>
      </c>
      <c r="C68" s="26">
        <v>1565899</v>
      </c>
      <c r="D68" s="10" t="s">
        <v>138</v>
      </c>
      <c r="E68" s="11" t="s">
        <v>13</v>
      </c>
      <c r="F68" s="10" t="s">
        <v>139</v>
      </c>
      <c r="G68" s="19">
        <v>3654.1559999999999</v>
      </c>
      <c r="H68" t="s">
        <v>34</v>
      </c>
      <c r="I68" s="2">
        <v>1</v>
      </c>
      <c r="J68" s="7">
        <v>0</v>
      </c>
      <c r="K68" t="s">
        <v>34</v>
      </c>
      <c r="L68" t="b">
        <v>1</v>
      </c>
      <c r="M68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68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68">
        <f>ROW()</f>
        <v>68</v>
      </c>
    </row>
    <row r="69" spans="1:15" x14ac:dyDescent="0.35">
      <c r="A69" s="8">
        <v>45662</v>
      </c>
      <c r="B69" s="17" t="s">
        <v>144</v>
      </c>
      <c r="C69" s="26">
        <v>644955</v>
      </c>
      <c r="D69" s="10" t="s">
        <v>138</v>
      </c>
      <c r="E69" s="11" t="s">
        <v>13</v>
      </c>
      <c r="F69" s="10" t="s">
        <v>139</v>
      </c>
      <c r="G69" s="19">
        <v>3654.123</v>
      </c>
      <c r="H69" t="s">
        <v>34</v>
      </c>
      <c r="I69" s="2">
        <v>1</v>
      </c>
      <c r="J69" s="7">
        <v>0</v>
      </c>
      <c r="K69" t="s">
        <v>34</v>
      </c>
      <c r="L69" t="b">
        <v>1</v>
      </c>
      <c r="M69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69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69">
        <f>ROW()</f>
        <v>69</v>
      </c>
    </row>
    <row r="70" spans="1:15" x14ac:dyDescent="0.35">
      <c r="A70" s="8">
        <v>45662</v>
      </c>
      <c r="B70" s="17" t="s">
        <v>145</v>
      </c>
      <c r="C70" s="26">
        <v>8046231</v>
      </c>
      <c r="D70" s="10" t="s">
        <v>138</v>
      </c>
      <c r="E70" s="11" t="s">
        <v>13</v>
      </c>
      <c r="F70" s="10" t="s">
        <v>139</v>
      </c>
      <c r="G70" s="19">
        <v>1827.078</v>
      </c>
      <c r="H70" t="s">
        <v>34</v>
      </c>
      <c r="I70" s="2">
        <v>1</v>
      </c>
      <c r="J70" s="7">
        <v>0</v>
      </c>
      <c r="K70" t="s">
        <v>34</v>
      </c>
      <c r="L70" t="b">
        <v>1</v>
      </c>
      <c r="M70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70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70">
        <f>ROW()</f>
        <v>70</v>
      </c>
    </row>
    <row r="71" spans="1:15" x14ac:dyDescent="0.35">
      <c r="A71" s="8">
        <v>45662</v>
      </c>
      <c r="B71" s="17" t="s">
        <v>146</v>
      </c>
      <c r="C71" s="26">
        <v>9068166</v>
      </c>
      <c r="D71" s="10" t="s">
        <v>138</v>
      </c>
      <c r="E71" s="11" t="s">
        <v>13</v>
      </c>
      <c r="F71" s="10" t="s">
        <v>139</v>
      </c>
      <c r="G71" s="19">
        <v>1827.0450000000001</v>
      </c>
      <c r="H71" t="s">
        <v>34</v>
      </c>
      <c r="I71" s="2">
        <v>1</v>
      </c>
      <c r="J71" s="7">
        <v>0</v>
      </c>
      <c r="K71" t="s">
        <v>34</v>
      </c>
      <c r="L71" t="b">
        <v>1</v>
      </c>
      <c r="M71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71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71">
        <f>ROW()</f>
        <v>71</v>
      </c>
    </row>
    <row r="72" spans="1:15" x14ac:dyDescent="0.35">
      <c r="A72" s="8">
        <v>45663</v>
      </c>
      <c r="B72" s="17" t="s">
        <v>147</v>
      </c>
      <c r="C72" s="26">
        <v>7388403</v>
      </c>
      <c r="D72" s="10"/>
      <c r="E72" s="11" t="s">
        <v>4</v>
      </c>
      <c r="F72" s="10" t="s">
        <v>148</v>
      </c>
      <c r="G72" s="19">
        <v>231806.95920000001</v>
      </c>
      <c r="H72" t="s">
        <v>34</v>
      </c>
      <c r="I72" s="2">
        <v>1</v>
      </c>
      <c r="J72" s="7">
        <v>0</v>
      </c>
      <c r="K72" t="s">
        <v>34</v>
      </c>
      <c r="L72" t="b">
        <v>1</v>
      </c>
      <c r="M72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72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>Wrong COO</v>
      </c>
      <c r="O72">
        <f>ROW()</f>
        <v>72</v>
      </c>
    </row>
    <row r="73" spans="1:15" x14ac:dyDescent="0.35">
      <c r="A73" s="8">
        <v>45663</v>
      </c>
      <c r="B73" s="17" t="s">
        <v>149</v>
      </c>
      <c r="C73" s="26">
        <v>4282341</v>
      </c>
      <c r="D73" s="10"/>
      <c r="E73" s="11" t="s">
        <v>4</v>
      </c>
      <c r="F73" s="10" t="s">
        <v>148</v>
      </c>
      <c r="G73" s="19">
        <v>231806.95920000001</v>
      </c>
      <c r="H73" t="s">
        <v>34</v>
      </c>
      <c r="I73" s="2">
        <v>1</v>
      </c>
      <c r="J73" s="7">
        <v>0</v>
      </c>
      <c r="K73" t="s">
        <v>34</v>
      </c>
      <c r="L73" t="b">
        <v>1</v>
      </c>
      <c r="M73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73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>Wrong COO</v>
      </c>
      <c r="O73">
        <f>ROW()</f>
        <v>73</v>
      </c>
    </row>
    <row r="74" spans="1:15" x14ac:dyDescent="0.35">
      <c r="A74" s="8">
        <v>45663</v>
      </c>
      <c r="B74" s="17" t="s">
        <v>150</v>
      </c>
      <c r="C74" s="26">
        <v>497009</v>
      </c>
      <c r="D74" s="10" t="s">
        <v>45</v>
      </c>
      <c r="E74" s="11" t="s">
        <v>4</v>
      </c>
      <c r="F74" s="10" t="s">
        <v>73</v>
      </c>
      <c r="G74" s="19">
        <v>154516.212</v>
      </c>
      <c r="H74" t="s">
        <v>34</v>
      </c>
      <c r="I74" s="2">
        <v>1</v>
      </c>
      <c r="J74" s="7">
        <v>0</v>
      </c>
      <c r="K74" t="s">
        <v>34</v>
      </c>
      <c r="L74" t="b">
        <v>1</v>
      </c>
      <c r="M74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74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74">
        <f>ROW()</f>
        <v>74</v>
      </c>
    </row>
    <row r="75" spans="1:15" x14ac:dyDescent="0.35">
      <c r="A75" s="8">
        <v>45663</v>
      </c>
      <c r="B75" s="17" t="s">
        <v>151</v>
      </c>
      <c r="C75" s="26">
        <v>1913337</v>
      </c>
      <c r="D75" s="10" t="s">
        <v>45</v>
      </c>
      <c r="E75" s="11" t="s">
        <v>4</v>
      </c>
      <c r="F75" s="10" t="s">
        <v>73</v>
      </c>
      <c r="G75" s="19">
        <v>147692.90700000001</v>
      </c>
      <c r="H75" t="s">
        <v>34</v>
      </c>
      <c r="I75" s="2">
        <v>1</v>
      </c>
      <c r="J75" s="7">
        <v>0</v>
      </c>
      <c r="K75" t="s">
        <v>34</v>
      </c>
      <c r="L75" t="b">
        <v>1</v>
      </c>
      <c r="M75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75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75">
        <f>ROW()</f>
        <v>75</v>
      </c>
    </row>
    <row r="76" spans="1:15" x14ac:dyDescent="0.35">
      <c r="A76" s="8">
        <v>45663</v>
      </c>
      <c r="B76" s="17" t="s">
        <v>152</v>
      </c>
      <c r="C76" s="26">
        <v>8779163</v>
      </c>
      <c r="D76" s="10" t="s">
        <v>45</v>
      </c>
      <c r="E76" s="11" t="s">
        <v>4</v>
      </c>
      <c r="F76" s="10" t="s">
        <v>73</v>
      </c>
      <c r="G76" s="19">
        <v>124431.91559999999</v>
      </c>
      <c r="H76" t="s">
        <v>34</v>
      </c>
      <c r="I76" s="2">
        <v>1</v>
      </c>
      <c r="J76" s="7">
        <v>0</v>
      </c>
      <c r="K76" t="s">
        <v>34</v>
      </c>
      <c r="L76" t="b">
        <v>1</v>
      </c>
      <c r="M76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76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76">
        <f>ROW()</f>
        <v>76</v>
      </c>
    </row>
    <row r="77" spans="1:15" x14ac:dyDescent="0.35">
      <c r="A77" s="8">
        <v>45663</v>
      </c>
      <c r="B77" s="17" t="s">
        <v>153</v>
      </c>
      <c r="C77" s="26">
        <v>5172089</v>
      </c>
      <c r="D77" s="10" t="s">
        <v>45</v>
      </c>
      <c r="E77" s="11" t="s">
        <v>4</v>
      </c>
      <c r="F77" s="10" t="s">
        <v>73</v>
      </c>
      <c r="G77" s="19">
        <v>124431.91559999999</v>
      </c>
      <c r="H77" t="s">
        <v>34</v>
      </c>
      <c r="I77" s="2">
        <v>1</v>
      </c>
      <c r="J77" s="7">
        <v>0</v>
      </c>
      <c r="K77" t="s">
        <v>34</v>
      </c>
      <c r="L77" t="b">
        <v>1</v>
      </c>
      <c r="M77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77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77">
        <f>ROW()</f>
        <v>77</v>
      </c>
    </row>
    <row r="78" spans="1:15" x14ac:dyDescent="0.35">
      <c r="A78" s="8">
        <v>45663</v>
      </c>
      <c r="B78" s="17" t="s">
        <v>154</v>
      </c>
      <c r="C78" s="26">
        <v>5444220</v>
      </c>
      <c r="D78" s="10" t="s">
        <v>45</v>
      </c>
      <c r="E78" s="11" t="s">
        <v>4</v>
      </c>
      <c r="F78" s="10" t="s">
        <v>73</v>
      </c>
      <c r="G78" s="19">
        <v>124359.9066</v>
      </c>
      <c r="H78" t="s">
        <v>34</v>
      </c>
      <c r="I78" s="2">
        <v>1</v>
      </c>
      <c r="J78" s="7">
        <v>0</v>
      </c>
      <c r="K78" t="s">
        <v>34</v>
      </c>
      <c r="L78" t="b">
        <v>1</v>
      </c>
      <c r="M78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78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78">
        <f>ROW()</f>
        <v>78</v>
      </c>
    </row>
    <row r="79" spans="1:15" x14ac:dyDescent="0.35">
      <c r="A79" s="8">
        <v>45663</v>
      </c>
      <c r="B79" s="17" t="s">
        <v>155</v>
      </c>
      <c r="C79" s="26">
        <v>2476448</v>
      </c>
      <c r="D79" s="10" t="s">
        <v>45</v>
      </c>
      <c r="E79" s="11" t="s">
        <v>4</v>
      </c>
      <c r="F79" s="10" t="s">
        <v>73</v>
      </c>
      <c r="G79" s="19">
        <v>121695.5664</v>
      </c>
      <c r="H79" t="s">
        <v>34</v>
      </c>
      <c r="I79" s="2">
        <v>1</v>
      </c>
      <c r="J79" s="7">
        <v>0</v>
      </c>
      <c r="K79" t="s">
        <v>34</v>
      </c>
      <c r="L79" t="b">
        <v>1</v>
      </c>
      <c r="M79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79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79">
        <f>ROW()</f>
        <v>79</v>
      </c>
    </row>
    <row r="80" spans="1:15" x14ac:dyDescent="0.35">
      <c r="A80" s="8">
        <v>45663</v>
      </c>
      <c r="B80" s="17" t="s">
        <v>156</v>
      </c>
      <c r="C80" s="26">
        <v>5034565</v>
      </c>
      <c r="D80" s="10" t="s">
        <v>45</v>
      </c>
      <c r="E80" s="11" t="s">
        <v>4</v>
      </c>
      <c r="F80" s="10" t="s">
        <v>73</v>
      </c>
      <c r="G80" s="19">
        <v>118887.2064</v>
      </c>
      <c r="H80" t="s">
        <v>34</v>
      </c>
      <c r="I80" s="2">
        <v>1</v>
      </c>
      <c r="J80" s="7">
        <v>0</v>
      </c>
      <c r="K80" t="s">
        <v>34</v>
      </c>
      <c r="L80" t="b">
        <v>1</v>
      </c>
      <c r="M80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80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80">
        <f>ROW()</f>
        <v>80</v>
      </c>
    </row>
    <row r="81" spans="1:15" x14ac:dyDescent="0.35">
      <c r="A81" s="8">
        <v>45663</v>
      </c>
      <c r="B81" s="17" t="s">
        <v>157</v>
      </c>
      <c r="C81" s="26">
        <v>8830080</v>
      </c>
      <c r="D81" s="10" t="s">
        <v>53</v>
      </c>
      <c r="E81" s="11" t="s">
        <v>4</v>
      </c>
      <c r="F81" s="10" t="s">
        <v>158</v>
      </c>
      <c r="G81" s="19">
        <v>70527.965400000001</v>
      </c>
      <c r="H81" t="s">
        <v>34</v>
      </c>
      <c r="I81" s="2">
        <v>1</v>
      </c>
      <c r="J81" s="7">
        <v>10141.300800000001</v>
      </c>
      <c r="K81" t="s">
        <v>34</v>
      </c>
      <c r="L81" t="b">
        <v>0</v>
      </c>
      <c r="M81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81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81">
        <f>ROW()</f>
        <v>81</v>
      </c>
    </row>
    <row r="82" spans="1:15" x14ac:dyDescent="0.35">
      <c r="A82" s="8">
        <v>45663</v>
      </c>
      <c r="B82" s="17" t="s">
        <v>159</v>
      </c>
      <c r="C82" s="26">
        <v>1688366</v>
      </c>
      <c r="D82" s="10" t="s">
        <v>160</v>
      </c>
      <c r="E82" s="11" t="s">
        <v>4</v>
      </c>
      <c r="F82" s="10" t="s">
        <v>43</v>
      </c>
      <c r="G82" s="19">
        <v>55634.930999999997</v>
      </c>
      <c r="H82" t="s">
        <v>34</v>
      </c>
      <c r="I82" s="2">
        <v>1</v>
      </c>
      <c r="J82" s="7">
        <v>4005.7145999999998</v>
      </c>
      <c r="K82" t="s">
        <v>34</v>
      </c>
      <c r="L82" t="b">
        <v>0</v>
      </c>
      <c r="M82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82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82">
        <f>ROW()</f>
        <v>82</v>
      </c>
    </row>
    <row r="83" spans="1:15" x14ac:dyDescent="0.35">
      <c r="A83" s="8">
        <v>45663</v>
      </c>
      <c r="B83" s="17" t="s">
        <v>161</v>
      </c>
      <c r="C83" s="26">
        <v>3013404</v>
      </c>
      <c r="D83" s="10" t="s">
        <v>6</v>
      </c>
      <c r="E83" s="11" t="s">
        <v>4</v>
      </c>
      <c r="F83" s="10" t="s">
        <v>80</v>
      </c>
      <c r="G83" s="19">
        <v>39080.739600000001</v>
      </c>
      <c r="H83" t="s">
        <v>34</v>
      </c>
      <c r="I83" s="2">
        <v>1</v>
      </c>
      <c r="J83" s="7">
        <v>0</v>
      </c>
      <c r="K83" t="s">
        <v>34</v>
      </c>
      <c r="L83" t="b">
        <v>0</v>
      </c>
      <c r="M83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83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83">
        <f>ROW()</f>
        <v>83</v>
      </c>
    </row>
    <row r="84" spans="1:15" x14ac:dyDescent="0.35">
      <c r="A84" s="8">
        <v>45663</v>
      </c>
      <c r="B84" s="17" t="s">
        <v>162</v>
      </c>
      <c r="C84" s="26">
        <v>6665704</v>
      </c>
      <c r="D84" s="10" t="s">
        <v>160</v>
      </c>
      <c r="E84" s="11" t="s">
        <v>4</v>
      </c>
      <c r="F84" s="10" t="s">
        <v>43</v>
      </c>
      <c r="G84" s="19">
        <v>37306.944000000003</v>
      </c>
      <c r="H84" t="s">
        <v>34</v>
      </c>
      <c r="I84" s="2">
        <v>1</v>
      </c>
      <c r="J84" s="7">
        <v>2686.1003999999998</v>
      </c>
      <c r="K84" t="s">
        <v>34</v>
      </c>
      <c r="L84" t="b">
        <v>0</v>
      </c>
      <c r="M84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84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84">
        <f>ROW()</f>
        <v>84</v>
      </c>
    </row>
    <row r="85" spans="1:15" x14ac:dyDescent="0.35">
      <c r="A85" s="8">
        <v>45663</v>
      </c>
      <c r="B85" s="17" t="s">
        <v>163</v>
      </c>
      <c r="C85" s="26">
        <v>2509171</v>
      </c>
      <c r="D85" s="10" t="s">
        <v>53</v>
      </c>
      <c r="E85" s="11" t="s">
        <v>4</v>
      </c>
      <c r="F85" s="10" t="s">
        <v>158</v>
      </c>
      <c r="G85" s="19">
        <v>8252.5985999999994</v>
      </c>
      <c r="H85" t="s">
        <v>34</v>
      </c>
      <c r="I85" s="2">
        <v>1</v>
      </c>
      <c r="J85" s="7">
        <v>1193.2218</v>
      </c>
      <c r="K85" t="s">
        <v>34</v>
      </c>
      <c r="L85" t="b">
        <v>0</v>
      </c>
      <c r="M85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85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85">
        <f>ROW()</f>
        <v>85</v>
      </c>
    </row>
    <row r="86" spans="1:15" x14ac:dyDescent="0.35">
      <c r="A86" s="8">
        <v>45672</v>
      </c>
      <c r="B86" s="17" t="s">
        <v>164</v>
      </c>
      <c r="C86" s="26">
        <v>3490891</v>
      </c>
      <c r="D86" s="10" t="s">
        <v>45</v>
      </c>
      <c r="E86" s="11" t="s">
        <v>11</v>
      </c>
      <c r="F86" s="10" t="s">
        <v>165</v>
      </c>
      <c r="G86" s="19">
        <v>534754.98047658009</v>
      </c>
      <c r="H86" t="s">
        <v>34</v>
      </c>
      <c r="I86" s="2">
        <v>1</v>
      </c>
      <c r="J86" s="7">
        <v>0</v>
      </c>
      <c r="K86" t="s">
        <v>34</v>
      </c>
      <c r="L86" t="b">
        <v>1</v>
      </c>
      <c r="M86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86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86">
        <f>ROW()</f>
        <v>86</v>
      </c>
    </row>
    <row r="87" spans="1:15" x14ac:dyDescent="0.35">
      <c r="A87" s="8">
        <v>45690</v>
      </c>
      <c r="B87" s="17" t="s">
        <v>166</v>
      </c>
      <c r="C87" s="26">
        <v>5389948</v>
      </c>
      <c r="D87" s="10" t="s">
        <v>138</v>
      </c>
      <c r="E87" s="11" t="s">
        <v>13</v>
      </c>
      <c r="F87" s="10" t="s">
        <v>139</v>
      </c>
      <c r="G87" s="19">
        <v>17004.240000000002</v>
      </c>
      <c r="H87" t="s">
        <v>34</v>
      </c>
      <c r="I87" s="2">
        <v>1</v>
      </c>
      <c r="J87" s="7">
        <v>0</v>
      </c>
      <c r="K87" t="s">
        <v>34</v>
      </c>
      <c r="L87" t="b">
        <v>0</v>
      </c>
      <c r="M87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87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87">
        <f>ROW()</f>
        <v>87</v>
      </c>
    </row>
    <row r="88" spans="1:15" x14ac:dyDescent="0.35">
      <c r="A88" s="8">
        <v>45690</v>
      </c>
      <c r="B88" s="17" t="s">
        <v>167</v>
      </c>
      <c r="C88" s="26">
        <v>4898387</v>
      </c>
      <c r="D88" s="10" t="s">
        <v>138</v>
      </c>
      <c r="E88" s="11" t="s">
        <v>13</v>
      </c>
      <c r="F88" s="10" t="s">
        <v>139</v>
      </c>
      <c r="G88" s="19">
        <v>12145.914000000001</v>
      </c>
      <c r="H88" t="s">
        <v>34</v>
      </c>
      <c r="I88" s="2">
        <v>1</v>
      </c>
      <c r="J88" s="7">
        <v>0</v>
      </c>
      <c r="K88" t="s">
        <v>34</v>
      </c>
      <c r="L88" t="b">
        <v>0</v>
      </c>
      <c r="M88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88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88">
        <f>ROW()</f>
        <v>88</v>
      </c>
    </row>
    <row r="89" spans="1:15" x14ac:dyDescent="0.35">
      <c r="A89" s="8">
        <v>45690</v>
      </c>
      <c r="B89" s="17" t="s">
        <v>168</v>
      </c>
      <c r="C89" s="26">
        <v>118070</v>
      </c>
      <c r="D89" s="10" t="s">
        <v>138</v>
      </c>
      <c r="E89" s="11" t="s">
        <v>13</v>
      </c>
      <c r="F89" s="10" t="s">
        <v>139</v>
      </c>
      <c r="G89" s="19">
        <v>12145.880999999999</v>
      </c>
      <c r="H89" t="s">
        <v>34</v>
      </c>
      <c r="I89" s="2">
        <v>1</v>
      </c>
      <c r="J89" s="7">
        <v>0</v>
      </c>
      <c r="K89" t="s">
        <v>34</v>
      </c>
      <c r="L89" t="b">
        <v>0</v>
      </c>
      <c r="M89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89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89">
        <f>ROW()</f>
        <v>89</v>
      </c>
    </row>
    <row r="90" spans="1:15" x14ac:dyDescent="0.35">
      <c r="A90" s="8">
        <v>45690</v>
      </c>
      <c r="B90" s="17" t="s">
        <v>169</v>
      </c>
      <c r="C90" s="26">
        <v>2379304</v>
      </c>
      <c r="D90" s="10" t="s">
        <v>138</v>
      </c>
      <c r="E90" s="11" t="s">
        <v>13</v>
      </c>
      <c r="F90" s="10" t="s">
        <v>139</v>
      </c>
      <c r="G90" s="19">
        <v>9716.6850000000013</v>
      </c>
      <c r="H90" t="s">
        <v>34</v>
      </c>
      <c r="I90" s="2">
        <v>1</v>
      </c>
      <c r="J90" s="7">
        <v>0</v>
      </c>
      <c r="K90" t="s">
        <v>34</v>
      </c>
      <c r="L90" t="b">
        <v>1</v>
      </c>
      <c r="M90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90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90">
        <f>ROW()</f>
        <v>90</v>
      </c>
    </row>
    <row r="91" spans="1:15" x14ac:dyDescent="0.35">
      <c r="A91" s="8">
        <v>45690</v>
      </c>
      <c r="B91" s="17" t="s">
        <v>170</v>
      </c>
      <c r="C91" s="26">
        <v>9400931</v>
      </c>
      <c r="D91" s="10" t="s">
        <v>138</v>
      </c>
      <c r="E91" s="11" t="s">
        <v>13</v>
      </c>
      <c r="F91" s="10" t="s">
        <v>139</v>
      </c>
      <c r="G91" s="19">
        <v>4858.3590000000004</v>
      </c>
      <c r="H91" t="s">
        <v>34</v>
      </c>
      <c r="I91" s="2">
        <v>1</v>
      </c>
      <c r="J91" s="7">
        <v>0</v>
      </c>
      <c r="K91" t="s">
        <v>34</v>
      </c>
      <c r="L91" t="b">
        <v>1</v>
      </c>
      <c r="M91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91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91">
        <f>ROW()</f>
        <v>91</v>
      </c>
    </row>
    <row r="92" spans="1:15" x14ac:dyDescent="0.35">
      <c r="A92" s="8">
        <v>45690</v>
      </c>
      <c r="B92" s="17" t="s">
        <v>171</v>
      </c>
      <c r="C92" s="26">
        <v>8316688</v>
      </c>
      <c r="D92" s="10" t="s">
        <v>138</v>
      </c>
      <c r="E92" s="11" t="s">
        <v>13</v>
      </c>
      <c r="F92" s="10" t="s">
        <v>139</v>
      </c>
      <c r="G92" s="19">
        <v>4858.326</v>
      </c>
      <c r="H92" t="s">
        <v>34</v>
      </c>
      <c r="I92" s="2">
        <v>1</v>
      </c>
      <c r="J92" s="7">
        <v>0</v>
      </c>
      <c r="K92" t="s">
        <v>34</v>
      </c>
      <c r="L92" t="b">
        <v>1</v>
      </c>
      <c r="M92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92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92">
        <f>ROW()</f>
        <v>92</v>
      </c>
    </row>
    <row r="93" spans="1:15" x14ac:dyDescent="0.35">
      <c r="A93" s="8">
        <v>45690</v>
      </c>
      <c r="B93" s="17" t="s">
        <v>172</v>
      </c>
      <c r="C93" s="26">
        <v>8775837</v>
      </c>
      <c r="D93" s="10" t="s">
        <v>138</v>
      </c>
      <c r="E93" s="11" t="s">
        <v>13</v>
      </c>
      <c r="F93" s="10" t="s">
        <v>139</v>
      </c>
      <c r="G93" s="19">
        <v>2429.1959999999999</v>
      </c>
      <c r="H93" t="s">
        <v>34</v>
      </c>
      <c r="I93" s="2">
        <v>1</v>
      </c>
      <c r="J93" s="7">
        <v>0</v>
      </c>
      <c r="K93" t="s">
        <v>34</v>
      </c>
      <c r="L93" t="b">
        <v>1</v>
      </c>
      <c r="M93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93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93">
        <f>ROW()</f>
        <v>93</v>
      </c>
    </row>
    <row r="94" spans="1:15" x14ac:dyDescent="0.35">
      <c r="A94" s="8">
        <v>45690</v>
      </c>
      <c r="B94" s="17" t="s">
        <v>173</v>
      </c>
      <c r="C94" s="26">
        <v>4666215</v>
      </c>
      <c r="D94" s="10" t="s">
        <v>138</v>
      </c>
      <c r="E94" s="11" t="s">
        <v>13</v>
      </c>
      <c r="F94" s="10" t="s">
        <v>139</v>
      </c>
      <c r="G94" s="19">
        <v>2429.163</v>
      </c>
      <c r="H94" t="s">
        <v>34</v>
      </c>
      <c r="I94" s="2">
        <v>1</v>
      </c>
      <c r="J94" s="7">
        <v>0</v>
      </c>
      <c r="K94" t="s">
        <v>34</v>
      </c>
      <c r="L94" t="b">
        <v>1</v>
      </c>
      <c r="M94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94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94">
        <f>ROW()</f>
        <v>94</v>
      </c>
    </row>
    <row r="95" spans="1:15" x14ac:dyDescent="0.35">
      <c r="A95" s="8">
        <v>45691</v>
      </c>
      <c r="B95" s="17" t="s">
        <v>174</v>
      </c>
      <c r="C95" s="26">
        <v>4049004</v>
      </c>
      <c r="D95" s="10" t="s">
        <v>45</v>
      </c>
      <c r="E95" s="11" t="s">
        <v>11</v>
      </c>
      <c r="F95" s="10" t="s">
        <v>133</v>
      </c>
      <c r="G95" s="19">
        <v>105216000</v>
      </c>
      <c r="H95" t="s">
        <v>34</v>
      </c>
      <c r="I95" s="2">
        <v>1</v>
      </c>
      <c r="J95" s="7">
        <v>0</v>
      </c>
      <c r="K95" t="s">
        <v>34</v>
      </c>
      <c r="L95" t="b">
        <v>1</v>
      </c>
      <c r="M95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95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>High Customs Value</v>
      </c>
      <c r="O95">
        <f>ROW()</f>
        <v>95</v>
      </c>
    </row>
    <row r="96" spans="1:15" x14ac:dyDescent="0.35">
      <c r="A96" s="8">
        <v>45691</v>
      </c>
      <c r="B96" s="17" t="s">
        <v>175</v>
      </c>
      <c r="C96" s="26">
        <v>3853753</v>
      </c>
      <c r="D96" s="10" t="s">
        <v>45</v>
      </c>
      <c r="E96" s="11" t="s">
        <v>4</v>
      </c>
      <c r="F96" s="10" t="s">
        <v>78</v>
      </c>
      <c r="G96" s="19">
        <v>108547.42140000001</v>
      </c>
      <c r="H96" t="s">
        <v>34</v>
      </c>
      <c r="I96" s="2">
        <v>1</v>
      </c>
      <c r="J96" s="7">
        <v>7815.4146000000001</v>
      </c>
      <c r="K96" t="s">
        <v>34</v>
      </c>
      <c r="L96" t="b">
        <v>0</v>
      </c>
      <c r="M96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96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96">
        <f>ROW()</f>
        <v>96</v>
      </c>
    </row>
    <row r="97" spans="1:15" x14ac:dyDescent="0.35">
      <c r="A97" s="8">
        <v>45691</v>
      </c>
      <c r="B97" s="17" t="s">
        <v>176</v>
      </c>
      <c r="C97" s="26">
        <v>3291248</v>
      </c>
      <c r="D97" s="10" t="s">
        <v>45</v>
      </c>
      <c r="E97" s="11" t="s">
        <v>4</v>
      </c>
      <c r="F97" s="10" t="s">
        <v>78</v>
      </c>
      <c r="G97" s="19">
        <v>107658.7398</v>
      </c>
      <c r="H97" t="s">
        <v>34</v>
      </c>
      <c r="I97" s="2">
        <v>1</v>
      </c>
      <c r="J97" s="7">
        <v>7751.4299999999994</v>
      </c>
      <c r="K97" t="s">
        <v>34</v>
      </c>
      <c r="L97" t="b">
        <v>0</v>
      </c>
      <c r="M97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97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97">
        <f>ROW()</f>
        <v>97</v>
      </c>
    </row>
    <row r="98" spans="1:15" x14ac:dyDescent="0.35">
      <c r="A98" s="8">
        <v>45691</v>
      </c>
      <c r="B98" s="17" t="s">
        <v>177</v>
      </c>
      <c r="C98" s="26">
        <v>8800834</v>
      </c>
      <c r="D98" s="10" t="s">
        <v>11</v>
      </c>
      <c r="E98" s="11" t="s">
        <v>4</v>
      </c>
      <c r="F98" s="10" t="s">
        <v>178</v>
      </c>
      <c r="G98" s="19">
        <v>95794.426800000001</v>
      </c>
      <c r="H98" t="s">
        <v>34</v>
      </c>
      <c r="I98" s="2">
        <v>1</v>
      </c>
      <c r="J98" s="7">
        <v>5498.9603999999999</v>
      </c>
      <c r="K98" t="s">
        <v>34</v>
      </c>
      <c r="L98" t="b">
        <v>0</v>
      </c>
      <c r="M98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98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98">
        <f>ROW()</f>
        <v>98</v>
      </c>
    </row>
    <row r="99" spans="1:15" x14ac:dyDescent="0.35">
      <c r="A99" s="8">
        <v>45691</v>
      </c>
      <c r="B99" s="17" t="s">
        <v>179</v>
      </c>
      <c r="C99" s="26">
        <v>7304961</v>
      </c>
      <c r="D99" s="10" t="s">
        <v>45</v>
      </c>
      <c r="E99" s="11" t="s">
        <v>4</v>
      </c>
      <c r="F99" s="10" t="s">
        <v>73</v>
      </c>
      <c r="G99" s="19">
        <v>47579.8266</v>
      </c>
      <c r="H99" t="s">
        <v>34</v>
      </c>
      <c r="I99" s="2">
        <v>1</v>
      </c>
      <c r="J99" s="7">
        <v>0</v>
      </c>
      <c r="K99" t="s">
        <v>34</v>
      </c>
      <c r="L99" t="b">
        <v>0</v>
      </c>
      <c r="M99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99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99">
        <f>ROW()</f>
        <v>99</v>
      </c>
    </row>
    <row r="100" spans="1:15" x14ac:dyDescent="0.35">
      <c r="A100" s="8">
        <v>45691</v>
      </c>
      <c r="B100" s="17" t="s">
        <v>180</v>
      </c>
      <c r="C100" s="26">
        <v>2512054</v>
      </c>
      <c r="D100" s="10" t="s">
        <v>11</v>
      </c>
      <c r="E100" s="11" t="s">
        <v>4</v>
      </c>
      <c r="F100" s="10" t="s">
        <v>178</v>
      </c>
      <c r="G100" s="19">
        <v>39371.6178</v>
      </c>
      <c r="H100" t="s">
        <v>34</v>
      </c>
      <c r="I100" s="2">
        <v>1</v>
      </c>
      <c r="J100" s="7">
        <v>2286.6030000000001</v>
      </c>
      <c r="K100" t="s">
        <v>34</v>
      </c>
      <c r="L100" t="b">
        <v>0</v>
      </c>
      <c r="M100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00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00">
        <f>ROW()</f>
        <v>100</v>
      </c>
    </row>
    <row r="101" spans="1:15" x14ac:dyDescent="0.35">
      <c r="A101" s="8">
        <v>45691</v>
      </c>
      <c r="B101" s="17" t="s">
        <v>181</v>
      </c>
      <c r="C101" s="26">
        <v>6146937</v>
      </c>
      <c r="D101" s="10" t="s">
        <v>45</v>
      </c>
      <c r="E101" s="11" t="s">
        <v>4</v>
      </c>
      <c r="F101" s="10" t="s">
        <v>78</v>
      </c>
      <c r="G101" s="19">
        <v>26693.7372</v>
      </c>
      <c r="H101" t="s">
        <v>34</v>
      </c>
      <c r="I101" s="2">
        <v>1</v>
      </c>
      <c r="J101" s="7">
        <v>1921.95</v>
      </c>
      <c r="K101" t="s">
        <v>34</v>
      </c>
      <c r="L101" t="b">
        <v>0</v>
      </c>
      <c r="M101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01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01">
        <f>ROW()</f>
        <v>101</v>
      </c>
    </row>
    <row r="102" spans="1:15" x14ac:dyDescent="0.35">
      <c r="A102" s="8">
        <v>45691</v>
      </c>
      <c r="B102" s="17" t="s">
        <v>182</v>
      </c>
      <c r="C102" s="26">
        <v>6275178</v>
      </c>
      <c r="D102" s="10" t="s">
        <v>45</v>
      </c>
      <c r="E102" s="11" t="s">
        <v>4</v>
      </c>
      <c r="F102" s="10" t="s">
        <v>73</v>
      </c>
      <c r="G102" s="19">
        <v>13562.474399999999</v>
      </c>
      <c r="H102" t="s">
        <v>34</v>
      </c>
      <c r="I102" s="2">
        <v>1</v>
      </c>
      <c r="J102" s="7">
        <v>0</v>
      </c>
      <c r="K102" t="s">
        <v>34</v>
      </c>
      <c r="L102" t="b">
        <v>1</v>
      </c>
      <c r="M102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02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02">
        <f>ROW()</f>
        <v>102</v>
      </c>
    </row>
    <row r="103" spans="1:15" x14ac:dyDescent="0.35">
      <c r="A103" s="8">
        <v>45691</v>
      </c>
      <c r="B103" s="17" t="s">
        <v>183</v>
      </c>
      <c r="C103" s="26">
        <v>5310725</v>
      </c>
      <c r="D103" s="10" t="s">
        <v>45</v>
      </c>
      <c r="E103" s="11" t="s">
        <v>5</v>
      </c>
      <c r="F103" s="10" t="s">
        <v>184</v>
      </c>
      <c r="G103" s="19">
        <v>36748.04</v>
      </c>
      <c r="H103" t="s">
        <v>34</v>
      </c>
      <c r="I103" s="2">
        <v>1</v>
      </c>
      <c r="J103" s="7">
        <v>0</v>
      </c>
      <c r="K103" t="s">
        <v>34</v>
      </c>
      <c r="L103" t="b">
        <v>1</v>
      </c>
      <c r="M103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03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03">
        <f>ROW()</f>
        <v>103</v>
      </c>
    </row>
    <row r="104" spans="1:15" x14ac:dyDescent="0.35">
      <c r="A104" s="8">
        <v>45691</v>
      </c>
      <c r="B104" s="17" t="s">
        <v>185</v>
      </c>
      <c r="C104" s="26">
        <v>2495004</v>
      </c>
      <c r="D104" s="10" t="s">
        <v>45</v>
      </c>
      <c r="E104" s="11" t="s">
        <v>5</v>
      </c>
      <c r="F104" s="10" t="s">
        <v>184</v>
      </c>
      <c r="G104" s="19">
        <v>36748.04</v>
      </c>
      <c r="H104" t="s">
        <v>34</v>
      </c>
      <c r="I104" s="2">
        <v>1</v>
      </c>
      <c r="J104" s="7">
        <v>0</v>
      </c>
      <c r="K104" t="s">
        <v>34</v>
      </c>
      <c r="L104" t="b">
        <v>1</v>
      </c>
      <c r="M104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04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04">
        <f>ROW()</f>
        <v>104</v>
      </c>
    </row>
    <row r="105" spans="1:15" x14ac:dyDescent="0.35">
      <c r="A105" s="8">
        <v>45691</v>
      </c>
      <c r="B105" s="17" t="s">
        <v>186</v>
      </c>
      <c r="C105" s="26">
        <v>7278771</v>
      </c>
      <c r="D105" s="10" t="s">
        <v>187</v>
      </c>
      <c r="E105" s="11" t="s">
        <v>7</v>
      </c>
      <c r="F105" s="10" t="s">
        <v>131</v>
      </c>
      <c r="G105" s="19">
        <v>169064.06</v>
      </c>
      <c r="H105" t="s">
        <v>34</v>
      </c>
      <c r="I105" s="2">
        <v>1</v>
      </c>
      <c r="J105" s="7">
        <v>0</v>
      </c>
      <c r="K105" t="s">
        <v>34</v>
      </c>
      <c r="L105" t="b">
        <v>1</v>
      </c>
      <c r="M105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05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05">
        <f>ROW()</f>
        <v>105</v>
      </c>
    </row>
    <row r="106" spans="1:15" x14ac:dyDescent="0.35">
      <c r="A106" s="8">
        <v>45691</v>
      </c>
      <c r="B106" s="17" t="s">
        <v>188</v>
      </c>
      <c r="C106" s="26">
        <v>2771689</v>
      </c>
      <c r="D106" s="10" t="s">
        <v>189</v>
      </c>
      <c r="E106" s="11" t="s">
        <v>7</v>
      </c>
      <c r="F106" s="10" t="s">
        <v>131</v>
      </c>
      <c r="G106" s="19">
        <v>40336.370000000003</v>
      </c>
      <c r="H106" t="s">
        <v>34</v>
      </c>
      <c r="I106" s="2">
        <v>1</v>
      </c>
      <c r="J106" s="7">
        <v>0</v>
      </c>
      <c r="K106" t="s">
        <v>34</v>
      </c>
      <c r="L106" t="b">
        <v>0</v>
      </c>
      <c r="M106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06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06">
        <f>ROW()</f>
        <v>106</v>
      </c>
    </row>
    <row r="107" spans="1:15" x14ac:dyDescent="0.35">
      <c r="A107" s="8">
        <v>45691</v>
      </c>
      <c r="B107" s="17" t="s">
        <v>190</v>
      </c>
      <c r="C107" s="26">
        <v>3852362</v>
      </c>
      <c r="D107" s="10" t="s">
        <v>187</v>
      </c>
      <c r="E107" s="11" t="s">
        <v>7</v>
      </c>
      <c r="F107" s="10" t="s">
        <v>131</v>
      </c>
      <c r="G107" s="19">
        <v>22877.42</v>
      </c>
      <c r="H107" t="s">
        <v>34</v>
      </c>
      <c r="I107" s="2">
        <v>1</v>
      </c>
      <c r="J107" s="7">
        <v>0</v>
      </c>
      <c r="K107" t="s">
        <v>34</v>
      </c>
      <c r="L107" t="b">
        <v>0</v>
      </c>
      <c r="M107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07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07">
        <f>ROW()</f>
        <v>107</v>
      </c>
    </row>
    <row r="108" spans="1:15" x14ac:dyDescent="0.35">
      <c r="A108" s="8">
        <v>45691</v>
      </c>
      <c r="B108" s="17" t="s">
        <v>191</v>
      </c>
      <c r="C108" s="26">
        <v>8137179</v>
      </c>
      <c r="D108" s="10" t="s">
        <v>58</v>
      </c>
      <c r="E108" s="11" t="s">
        <v>9</v>
      </c>
      <c r="F108" s="10" t="s">
        <v>192</v>
      </c>
      <c r="G108" s="19">
        <v>1089312</v>
      </c>
      <c r="H108" t="s">
        <v>34</v>
      </c>
      <c r="I108" s="2">
        <v>1</v>
      </c>
      <c r="J108" s="7">
        <v>0</v>
      </c>
      <c r="K108" t="s">
        <v>34</v>
      </c>
      <c r="L108" t="b">
        <v>0</v>
      </c>
      <c r="M108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08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08">
        <f>ROW()</f>
        <v>108</v>
      </c>
    </row>
    <row r="109" spans="1:15" x14ac:dyDescent="0.35">
      <c r="A109" s="8">
        <v>45691</v>
      </c>
      <c r="B109" s="17" t="s">
        <v>193</v>
      </c>
      <c r="C109" s="26">
        <v>9222133</v>
      </c>
      <c r="D109" s="10" t="s">
        <v>53</v>
      </c>
      <c r="E109" s="11" t="s">
        <v>9</v>
      </c>
      <c r="F109" s="10" t="s">
        <v>54</v>
      </c>
      <c r="G109" s="19">
        <v>218484</v>
      </c>
      <c r="H109" t="s">
        <v>34</v>
      </c>
      <c r="I109" s="2">
        <v>1</v>
      </c>
      <c r="J109" s="7">
        <v>0</v>
      </c>
      <c r="K109" t="s">
        <v>34</v>
      </c>
      <c r="L109" t="b">
        <v>0</v>
      </c>
      <c r="M109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09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09">
        <f>ROW()</f>
        <v>109</v>
      </c>
    </row>
    <row r="110" spans="1:15" x14ac:dyDescent="0.35">
      <c r="A110" s="8">
        <v>45691</v>
      </c>
      <c r="B110" s="17" t="s">
        <v>194</v>
      </c>
      <c r="C110" s="26">
        <v>5388875</v>
      </c>
      <c r="D110" s="10" t="s">
        <v>58</v>
      </c>
      <c r="E110" s="11" t="s">
        <v>9</v>
      </c>
      <c r="F110" s="10" t="s">
        <v>192</v>
      </c>
      <c r="G110" s="19">
        <v>53088</v>
      </c>
      <c r="H110" t="s">
        <v>34</v>
      </c>
      <c r="I110" s="2">
        <v>1</v>
      </c>
      <c r="J110" s="7">
        <v>0</v>
      </c>
      <c r="K110" t="s">
        <v>34</v>
      </c>
      <c r="L110" t="b">
        <v>0</v>
      </c>
      <c r="M110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10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10">
        <f>ROW()</f>
        <v>110</v>
      </c>
    </row>
    <row r="111" spans="1:15" x14ac:dyDescent="0.35">
      <c r="A111" s="8">
        <v>45691</v>
      </c>
      <c r="B111" s="17" t="s">
        <v>195</v>
      </c>
      <c r="C111" s="26">
        <v>6828798</v>
      </c>
      <c r="D111" s="10" t="s">
        <v>196</v>
      </c>
      <c r="E111" s="11" t="s">
        <v>10</v>
      </c>
      <c r="F111" s="10" t="s">
        <v>60</v>
      </c>
      <c r="G111" s="19">
        <v>34644.485999999997</v>
      </c>
      <c r="H111" t="s">
        <v>34</v>
      </c>
      <c r="I111" s="2">
        <v>1</v>
      </c>
      <c r="J111" s="7">
        <v>3200.8674999999998</v>
      </c>
      <c r="K111" t="s">
        <v>34</v>
      </c>
      <c r="L111" t="b">
        <v>0</v>
      </c>
      <c r="M111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11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11">
        <f>ROW()</f>
        <v>111</v>
      </c>
    </row>
    <row r="112" spans="1:15" x14ac:dyDescent="0.35">
      <c r="A112" s="8">
        <v>45691</v>
      </c>
      <c r="B112" s="17" t="s">
        <v>197</v>
      </c>
      <c r="C112" s="26">
        <v>9697745</v>
      </c>
      <c r="D112" s="10" t="s">
        <v>196</v>
      </c>
      <c r="E112" s="11" t="s">
        <v>10</v>
      </c>
      <c r="F112" s="10" t="s">
        <v>60</v>
      </c>
      <c r="G112" s="19">
        <v>14460.307199999999</v>
      </c>
      <c r="H112" t="s">
        <v>34</v>
      </c>
      <c r="I112" s="2">
        <v>1</v>
      </c>
      <c r="J112" s="7">
        <v>1336.0094999999999</v>
      </c>
      <c r="K112" t="s">
        <v>34</v>
      </c>
      <c r="L112" t="b">
        <v>0</v>
      </c>
      <c r="M112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12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12">
        <f>ROW()</f>
        <v>112</v>
      </c>
    </row>
    <row r="113" spans="1:15" x14ac:dyDescent="0.35">
      <c r="A113" s="8">
        <v>45691</v>
      </c>
      <c r="B113" s="17" t="s">
        <v>198</v>
      </c>
      <c r="C113" s="26">
        <v>1772995</v>
      </c>
      <c r="D113" s="10" t="s">
        <v>45</v>
      </c>
      <c r="E113" s="11" t="s">
        <v>12</v>
      </c>
      <c r="F113" s="10" t="s">
        <v>199</v>
      </c>
      <c r="G113" s="19">
        <v>90885.15</v>
      </c>
      <c r="H113" t="s">
        <v>34</v>
      </c>
      <c r="I113" s="2">
        <v>1</v>
      </c>
      <c r="J113" s="7">
        <v>0</v>
      </c>
      <c r="K113" t="s">
        <v>34</v>
      </c>
      <c r="L113" t="b">
        <v>0</v>
      </c>
      <c r="M113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13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13">
        <f>ROW()</f>
        <v>113</v>
      </c>
    </row>
    <row r="114" spans="1:15" x14ac:dyDescent="0.35">
      <c r="A114" s="8">
        <v>45691</v>
      </c>
      <c r="B114" s="17" t="s">
        <v>200</v>
      </c>
      <c r="C114" s="26">
        <v>1954214</v>
      </c>
      <c r="D114" s="10" t="s">
        <v>201</v>
      </c>
      <c r="E114" s="11" t="s">
        <v>12</v>
      </c>
      <c r="F114" s="10" t="s">
        <v>202</v>
      </c>
      <c r="G114" s="19">
        <v>77.430000000000007</v>
      </c>
      <c r="H114" t="s">
        <v>34</v>
      </c>
      <c r="I114" s="2">
        <v>1</v>
      </c>
      <c r="J114" s="7">
        <v>0</v>
      </c>
      <c r="K114" t="s">
        <v>34</v>
      </c>
      <c r="L114" t="b">
        <v>0</v>
      </c>
      <c r="M114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14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14">
        <f>ROW()</f>
        <v>114</v>
      </c>
    </row>
    <row r="115" spans="1:15" x14ac:dyDescent="0.35">
      <c r="A115" s="8">
        <v>45691</v>
      </c>
      <c r="B115" s="17" t="s">
        <v>203</v>
      </c>
      <c r="C115" s="26">
        <v>2113885</v>
      </c>
      <c r="D115" s="10" t="s">
        <v>201</v>
      </c>
      <c r="E115" s="11" t="s">
        <v>12</v>
      </c>
      <c r="F115" s="10" t="s">
        <v>202</v>
      </c>
      <c r="G115" s="19">
        <v>30.97</v>
      </c>
      <c r="H115" t="s">
        <v>34</v>
      </c>
      <c r="I115" s="2">
        <v>1</v>
      </c>
      <c r="J115" s="7">
        <v>0</v>
      </c>
      <c r="K115" t="s">
        <v>34</v>
      </c>
      <c r="L115" t="b">
        <v>0</v>
      </c>
      <c r="M115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15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15">
        <f>ROW()</f>
        <v>115</v>
      </c>
    </row>
    <row r="116" spans="1:15" x14ac:dyDescent="0.35">
      <c r="A116" s="8">
        <v>45691</v>
      </c>
      <c r="B116" s="17" t="s">
        <v>204</v>
      </c>
      <c r="C116" s="26">
        <v>2298809</v>
      </c>
      <c r="D116" s="10" t="s">
        <v>53</v>
      </c>
      <c r="E116" s="11" t="s">
        <v>13</v>
      </c>
      <c r="F116" s="10" t="s">
        <v>205</v>
      </c>
      <c r="G116" s="19">
        <v>118761.621</v>
      </c>
      <c r="H116" t="s">
        <v>34</v>
      </c>
      <c r="I116" s="2">
        <v>1</v>
      </c>
      <c r="J116" s="7">
        <v>35628.486299999997</v>
      </c>
      <c r="K116" t="s">
        <v>34</v>
      </c>
      <c r="L116" t="b">
        <v>0</v>
      </c>
      <c r="M116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16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16">
        <f>ROW()</f>
        <v>116</v>
      </c>
    </row>
    <row r="117" spans="1:15" x14ac:dyDescent="0.35">
      <c r="A117" s="8">
        <v>45691</v>
      </c>
      <c r="B117" s="17" t="s">
        <v>206</v>
      </c>
      <c r="C117" s="26">
        <v>8986289</v>
      </c>
      <c r="D117" s="10" t="s">
        <v>8</v>
      </c>
      <c r="E117" s="11" t="s">
        <v>13</v>
      </c>
      <c r="F117" s="10" t="s">
        <v>207</v>
      </c>
      <c r="G117" s="19">
        <v>30650.617600000001</v>
      </c>
      <c r="H117" t="s">
        <v>34</v>
      </c>
      <c r="I117" s="2">
        <v>1</v>
      </c>
      <c r="J117" s="7">
        <v>0</v>
      </c>
      <c r="K117" t="s">
        <v>34</v>
      </c>
      <c r="L117" t="b">
        <v>0</v>
      </c>
      <c r="M117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17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17">
        <f>ROW()</f>
        <v>117</v>
      </c>
    </row>
    <row r="118" spans="1:15" x14ac:dyDescent="0.35">
      <c r="A118" s="8">
        <v>45691</v>
      </c>
      <c r="B118" s="17" t="s">
        <v>208</v>
      </c>
      <c r="C118" s="26">
        <v>5886747</v>
      </c>
      <c r="D118" s="10" t="s">
        <v>8</v>
      </c>
      <c r="E118" s="11" t="s">
        <v>14</v>
      </c>
      <c r="F118" s="10" t="s">
        <v>207</v>
      </c>
      <c r="G118" s="19">
        <v>37105.239986100001</v>
      </c>
      <c r="H118" t="s">
        <v>34</v>
      </c>
      <c r="I118" s="2">
        <v>2047.52</v>
      </c>
      <c r="J118" s="7">
        <v>0</v>
      </c>
      <c r="K118" t="s">
        <v>34</v>
      </c>
      <c r="L118" t="b">
        <v>0</v>
      </c>
      <c r="M118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18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18">
        <f>ROW()</f>
        <v>118</v>
      </c>
    </row>
    <row r="119" spans="1:15" x14ac:dyDescent="0.35">
      <c r="A119" s="8">
        <v>45692</v>
      </c>
      <c r="B119" s="17" t="s">
        <v>209</v>
      </c>
      <c r="C119" s="26">
        <v>7372668</v>
      </c>
      <c r="D119" s="10" t="s">
        <v>45</v>
      </c>
      <c r="E119" s="11" t="s">
        <v>4</v>
      </c>
      <c r="F119" s="10" t="s">
        <v>210</v>
      </c>
      <c r="G119" s="19">
        <v>141568.4664</v>
      </c>
      <c r="H119" t="s">
        <v>34</v>
      </c>
      <c r="I119" s="2">
        <v>1</v>
      </c>
      <c r="J119" s="7">
        <v>0</v>
      </c>
      <c r="K119" t="s">
        <v>34</v>
      </c>
      <c r="L119" t="b">
        <v>0</v>
      </c>
      <c r="M119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19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19">
        <f>ROW()</f>
        <v>119</v>
      </c>
    </row>
    <row r="120" spans="1:15" x14ac:dyDescent="0.35">
      <c r="A120" s="8">
        <v>45692</v>
      </c>
      <c r="B120" s="17" t="s">
        <v>211</v>
      </c>
      <c r="C120" s="26">
        <v>662911</v>
      </c>
      <c r="D120" s="10" t="s">
        <v>39</v>
      </c>
      <c r="E120" s="11" t="s">
        <v>4</v>
      </c>
      <c r="F120" s="10" t="s">
        <v>212</v>
      </c>
      <c r="G120" s="19">
        <v>58984.812000000013</v>
      </c>
      <c r="H120" t="s">
        <v>34</v>
      </c>
      <c r="I120" s="2">
        <v>1</v>
      </c>
      <c r="J120" s="7">
        <v>9555.5393999999997</v>
      </c>
      <c r="K120" t="s">
        <v>34</v>
      </c>
      <c r="L120" t="b">
        <v>0</v>
      </c>
      <c r="M120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20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20">
        <f>ROW()</f>
        <v>120</v>
      </c>
    </row>
    <row r="121" spans="1:15" x14ac:dyDescent="0.35">
      <c r="A121" s="8">
        <v>45692</v>
      </c>
      <c r="B121" s="17" t="s">
        <v>213</v>
      </c>
      <c r="C121" s="26">
        <v>5163669</v>
      </c>
      <c r="D121" s="10" t="s">
        <v>39</v>
      </c>
      <c r="E121" s="11" t="s">
        <v>4</v>
      </c>
      <c r="F121" s="10" t="s">
        <v>212</v>
      </c>
      <c r="G121" s="19">
        <v>57288.540599999993</v>
      </c>
      <c r="H121" t="s">
        <v>34</v>
      </c>
      <c r="I121" s="2">
        <v>1</v>
      </c>
      <c r="J121" s="7">
        <v>9280.7441999999992</v>
      </c>
      <c r="K121" t="s">
        <v>34</v>
      </c>
      <c r="L121" t="b">
        <v>0</v>
      </c>
      <c r="M121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21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21">
        <f>ROW()</f>
        <v>121</v>
      </c>
    </row>
    <row r="122" spans="1:15" x14ac:dyDescent="0.35">
      <c r="A122" s="8">
        <v>45692</v>
      </c>
      <c r="B122" s="17" t="s">
        <v>214</v>
      </c>
      <c r="C122" s="26">
        <v>9189153</v>
      </c>
      <c r="D122" s="10" t="s">
        <v>45</v>
      </c>
      <c r="E122" s="11" t="s">
        <v>4</v>
      </c>
      <c r="F122" s="10" t="s">
        <v>73</v>
      </c>
      <c r="G122" s="19">
        <v>36183.884400000003</v>
      </c>
      <c r="H122" t="s">
        <v>34</v>
      </c>
      <c r="I122" s="2">
        <v>1</v>
      </c>
      <c r="J122" s="7">
        <v>0</v>
      </c>
      <c r="K122" t="s">
        <v>34</v>
      </c>
      <c r="L122" t="b">
        <v>0</v>
      </c>
      <c r="M122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22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22">
        <f>ROW()</f>
        <v>122</v>
      </c>
    </row>
    <row r="123" spans="1:15" x14ac:dyDescent="0.35">
      <c r="A123" s="8">
        <v>45692</v>
      </c>
      <c r="B123" s="17" t="s">
        <v>215</v>
      </c>
      <c r="C123" s="26">
        <v>4092378</v>
      </c>
      <c r="D123" s="10" t="s">
        <v>138</v>
      </c>
      <c r="E123" s="11" t="s">
        <v>4</v>
      </c>
      <c r="F123" s="10" t="s">
        <v>91</v>
      </c>
      <c r="G123" s="19">
        <v>1820.0645999999999</v>
      </c>
      <c r="H123" t="s">
        <v>34</v>
      </c>
      <c r="I123" s="2">
        <v>1</v>
      </c>
      <c r="J123" s="7">
        <v>0</v>
      </c>
      <c r="K123" t="s">
        <v>34</v>
      </c>
      <c r="L123" t="b">
        <v>0</v>
      </c>
      <c r="M123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23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23">
        <f>ROW()</f>
        <v>123</v>
      </c>
    </row>
    <row r="124" spans="1:15" x14ac:dyDescent="0.35">
      <c r="A124" s="8">
        <v>45692</v>
      </c>
      <c r="B124" s="17" t="s">
        <v>216</v>
      </c>
      <c r="C124" s="26">
        <v>9825131</v>
      </c>
      <c r="D124" s="10" t="s">
        <v>53</v>
      </c>
      <c r="E124" s="11" t="s">
        <v>7</v>
      </c>
      <c r="F124" s="10" t="s">
        <v>217</v>
      </c>
      <c r="G124" s="19">
        <v>67.239999999999995</v>
      </c>
      <c r="H124" t="s">
        <v>34</v>
      </c>
      <c r="I124" s="2">
        <v>1</v>
      </c>
      <c r="J124" s="7">
        <v>0</v>
      </c>
      <c r="K124" t="s">
        <v>34</v>
      </c>
      <c r="L124" t="b">
        <v>1</v>
      </c>
      <c r="M124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24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24">
        <f>ROW()</f>
        <v>124</v>
      </c>
    </row>
    <row r="125" spans="1:15" x14ac:dyDescent="0.35">
      <c r="A125" s="8">
        <v>45692</v>
      </c>
      <c r="B125" s="17" t="s">
        <v>218</v>
      </c>
      <c r="C125" s="26">
        <v>5085730</v>
      </c>
      <c r="D125" s="10" t="s">
        <v>53</v>
      </c>
      <c r="E125" s="11" t="s">
        <v>7</v>
      </c>
      <c r="F125" s="10" t="s">
        <v>217</v>
      </c>
      <c r="G125" s="19">
        <v>41.58</v>
      </c>
      <c r="H125" t="s">
        <v>34</v>
      </c>
      <c r="I125" s="2">
        <v>1</v>
      </c>
      <c r="J125" s="7">
        <v>0</v>
      </c>
      <c r="K125" t="s">
        <v>34</v>
      </c>
      <c r="L125" t="b">
        <v>1</v>
      </c>
      <c r="M125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25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25">
        <f>ROW()</f>
        <v>125</v>
      </c>
    </row>
    <row r="126" spans="1:15" x14ac:dyDescent="0.35">
      <c r="A126" s="8">
        <v>45692</v>
      </c>
      <c r="B126" s="17" t="s">
        <v>219</v>
      </c>
      <c r="C126" s="26">
        <v>9274803</v>
      </c>
      <c r="D126" s="10" t="s">
        <v>53</v>
      </c>
      <c r="E126" s="11" t="s">
        <v>7</v>
      </c>
      <c r="F126" s="10" t="s">
        <v>217</v>
      </c>
      <c r="G126" s="19">
        <v>37.82</v>
      </c>
      <c r="H126" t="s">
        <v>34</v>
      </c>
      <c r="I126" s="2">
        <v>1</v>
      </c>
      <c r="J126" s="7">
        <v>0</v>
      </c>
      <c r="K126" t="s">
        <v>34</v>
      </c>
      <c r="L126" t="b">
        <v>1</v>
      </c>
      <c r="M126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26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26">
        <f>ROW()</f>
        <v>126</v>
      </c>
    </row>
    <row r="127" spans="1:15" x14ac:dyDescent="0.35">
      <c r="A127" s="8">
        <v>45692</v>
      </c>
      <c r="B127" s="17" t="s">
        <v>220</v>
      </c>
      <c r="C127" s="26">
        <v>6369382</v>
      </c>
      <c r="D127" s="10" t="s">
        <v>53</v>
      </c>
      <c r="E127" s="11" t="s">
        <v>7</v>
      </c>
      <c r="F127" s="10" t="s">
        <v>217</v>
      </c>
      <c r="G127" s="19">
        <v>37.64</v>
      </c>
      <c r="H127" t="s">
        <v>34</v>
      </c>
      <c r="I127" s="2">
        <v>1</v>
      </c>
      <c r="J127" s="7">
        <v>0</v>
      </c>
      <c r="K127" t="s">
        <v>34</v>
      </c>
      <c r="L127" t="b">
        <v>1</v>
      </c>
      <c r="M127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27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27">
        <f>ROW()</f>
        <v>127</v>
      </c>
    </row>
    <row r="128" spans="1:15" x14ac:dyDescent="0.35">
      <c r="A128" s="8">
        <v>45692</v>
      </c>
      <c r="B128" s="17" t="s">
        <v>221</v>
      </c>
      <c r="C128" s="26">
        <v>3942073</v>
      </c>
      <c r="D128" s="10" t="s">
        <v>53</v>
      </c>
      <c r="E128" s="11" t="s">
        <v>7</v>
      </c>
      <c r="F128" s="10" t="s">
        <v>217</v>
      </c>
      <c r="G128" s="19">
        <v>37.619999999999997</v>
      </c>
      <c r="H128" t="s">
        <v>34</v>
      </c>
      <c r="I128" s="2">
        <v>1</v>
      </c>
      <c r="J128" s="7">
        <v>0</v>
      </c>
      <c r="K128" t="s">
        <v>34</v>
      </c>
      <c r="L128" t="b">
        <v>1</v>
      </c>
      <c r="M128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28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28">
        <f>ROW()</f>
        <v>128</v>
      </c>
    </row>
    <row r="129" spans="1:15" x14ac:dyDescent="0.35">
      <c r="A129" s="8">
        <v>45692</v>
      </c>
      <c r="B129" s="17" t="s">
        <v>222</v>
      </c>
      <c r="C129" s="26">
        <v>3144014</v>
      </c>
      <c r="D129" s="10" t="s">
        <v>53</v>
      </c>
      <c r="E129" s="11" t="s">
        <v>7</v>
      </c>
      <c r="F129" s="10" t="s">
        <v>217</v>
      </c>
      <c r="G129" s="19">
        <v>34.590000000000003</v>
      </c>
      <c r="H129" t="s">
        <v>34</v>
      </c>
      <c r="I129" s="2">
        <v>1</v>
      </c>
      <c r="J129" s="7">
        <v>0</v>
      </c>
      <c r="K129" t="s">
        <v>34</v>
      </c>
      <c r="L129" t="b">
        <v>1</v>
      </c>
      <c r="M129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29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29">
        <f>ROW()</f>
        <v>129</v>
      </c>
    </row>
    <row r="130" spans="1:15" x14ac:dyDescent="0.35">
      <c r="A130" s="8">
        <v>45692</v>
      </c>
      <c r="B130" s="17" t="s">
        <v>223</v>
      </c>
      <c r="C130" s="26">
        <v>7806251</v>
      </c>
      <c r="D130" s="10" t="s">
        <v>53</v>
      </c>
      <c r="E130" s="11" t="s">
        <v>7</v>
      </c>
      <c r="F130" s="10" t="s">
        <v>217</v>
      </c>
      <c r="G130" s="19">
        <v>32.200000000000003</v>
      </c>
      <c r="H130" t="s">
        <v>34</v>
      </c>
      <c r="I130" s="2">
        <v>1</v>
      </c>
      <c r="J130" s="7">
        <v>0</v>
      </c>
      <c r="K130" t="s">
        <v>34</v>
      </c>
      <c r="L130" t="b">
        <v>1</v>
      </c>
      <c r="M130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30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30">
        <f>ROW()</f>
        <v>130</v>
      </c>
    </row>
    <row r="131" spans="1:15" x14ac:dyDescent="0.35">
      <c r="A131" s="8">
        <v>45692</v>
      </c>
      <c r="B131" s="17" t="s">
        <v>224</v>
      </c>
      <c r="C131" s="26">
        <v>2673630</v>
      </c>
      <c r="D131" s="10" t="s">
        <v>53</v>
      </c>
      <c r="E131" s="11" t="s">
        <v>7</v>
      </c>
      <c r="F131" s="10" t="s">
        <v>217</v>
      </c>
      <c r="G131" s="19">
        <v>28.16</v>
      </c>
      <c r="H131" t="s">
        <v>34</v>
      </c>
      <c r="I131" s="2">
        <v>1</v>
      </c>
      <c r="J131" s="7">
        <v>0</v>
      </c>
      <c r="K131" t="s">
        <v>34</v>
      </c>
      <c r="L131" t="b">
        <v>1</v>
      </c>
      <c r="M131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31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31">
        <f>ROW()</f>
        <v>131</v>
      </c>
    </row>
    <row r="132" spans="1:15" x14ac:dyDescent="0.35">
      <c r="A132" s="8">
        <v>45692</v>
      </c>
      <c r="B132" s="17" t="s">
        <v>225</v>
      </c>
      <c r="C132" s="26">
        <v>7401368</v>
      </c>
      <c r="D132" s="10" t="s">
        <v>53</v>
      </c>
      <c r="E132" s="11" t="s">
        <v>7</v>
      </c>
      <c r="F132" s="10" t="s">
        <v>217</v>
      </c>
      <c r="G132" s="19">
        <v>28.16</v>
      </c>
      <c r="H132" t="s">
        <v>34</v>
      </c>
      <c r="I132" s="2">
        <v>1</v>
      </c>
      <c r="J132" s="7">
        <v>0</v>
      </c>
      <c r="K132" t="s">
        <v>34</v>
      </c>
      <c r="L132" t="b">
        <v>1</v>
      </c>
      <c r="M132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32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32">
        <f>ROW()</f>
        <v>132</v>
      </c>
    </row>
    <row r="133" spans="1:15" x14ac:dyDescent="0.35">
      <c r="A133" s="8">
        <v>45692</v>
      </c>
      <c r="B133" s="17" t="s">
        <v>226</v>
      </c>
      <c r="C133" s="26">
        <v>6364640</v>
      </c>
      <c r="D133" s="10" t="s">
        <v>53</v>
      </c>
      <c r="E133" s="11" t="s">
        <v>7</v>
      </c>
      <c r="F133" s="10" t="s">
        <v>217</v>
      </c>
      <c r="G133" s="19">
        <v>25.46</v>
      </c>
      <c r="H133" t="s">
        <v>34</v>
      </c>
      <c r="I133" s="2">
        <v>1</v>
      </c>
      <c r="J133" s="7">
        <v>0</v>
      </c>
      <c r="K133" t="s">
        <v>34</v>
      </c>
      <c r="L133" t="b">
        <v>1</v>
      </c>
      <c r="M133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33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33">
        <f>ROW()</f>
        <v>133</v>
      </c>
    </row>
    <row r="134" spans="1:15" x14ac:dyDescent="0.35">
      <c r="A134" s="8">
        <v>45692</v>
      </c>
      <c r="B134" s="17" t="s">
        <v>227</v>
      </c>
      <c r="C134" s="26">
        <v>1899321</v>
      </c>
      <c r="D134" s="10" t="s">
        <v>53</v>
      </c>
      <c r="E134" s="11" t="s">
        <v>7</v>
      </c>
      <c r="F134" s="10" t="s">
        <v>217</v>
      </c>
      <c r="G134" s="19">
        <v>25.44</v>
      </c>
      <c r="H134" t="s">
        <v>34</v>
      </c>
      <c r="I134" s="2">
        <v>1</v>
      </c>
      <c r="J134" s="7">
        <v>0</v>
      </c>
      <c r="K134" t="s">
        <v>34</v>
      </c>
      <c r="L134" t="b">
        <v>1</v>
      </c>
      <c r="M134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34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34">
        <f>ROW()</f>
        <v>134</v>
      </c>
    </row>
    <row r="135" spans="1:15" x14ac:dyDescent="0.35">
      <c r="A135" s="8">
        <v>45692</v>
      </c>
      <c r="B135" s="17" t="s">
        <v>228</v>
      </c>
      <c r="C135" s="26">
        <v>538519</v>
      </c>
      <c r="D135" s="10" t="s">
        <v>53</v>
      </c>
      <c r="E135" s="11" t="s">
        <v>7</v>
      </c>
      <c r="F135" s="10" t="s">
        <v>217</v>
      </c>
      <c r="G135" s="19">
        <v>23.88</v>
      </c>
      <c r="H135" t="s">
        <v>34</v>
      </c>
      <c r="I135" s="2">
        <v>1</v>
      </c>
      <c r="J135" s="7">
        <v>0</v>
      </c>
      <c r="K135" t="s">
        <v>34</v>
      </c>
      <c r="L135" t="b">
        <v>1</v>
      </c>
      <c r="M135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35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35">
        <f>ROW()</f>
        <v>135</v>
      </c>
    </row>
    <row r="136" spans="1:15" x14ac:dyDescent="0.35">
      <c r="A136" s="8">
        <v>45692</v>
      </c>
      <c r="B136" s="17" t="s">
        <v>229</v>
      </c>
      <c r="C136" s="26">
        <v>3514970</v>
      </c>
      <c r="D136" s="10" t="s">
        <v>53</v>
      </c>
      <c r="E136" s="11" t="s">
        <v>7</v>
      </c>
      <c r="F136" s="10" t="s">
        <v>217</v>
      </c>
      <c r="G136" s="19">
        <v>21.39</v>
      </c>
      <c r="H136" t="s">
        <v>34</v>
      </c>
      <c r="I136" s="2">
        <v>1</v>
      </c>
      <c r="J136" s="7">
        <v>0</v>
      </c>
      <c r="K136" t="s">
        <v>34</v>
      </c>
      <c r="L136" t="b">
        <v>1</v>
      </c>
      <c r="M136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36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36">
        <f>ROW()</f>
        <v>136</v>
      </c>
    </row>
    <row r="137" spans="1:15" x14ac:dyDescent="0.35">
      <c r="A137" s="8">
        <v>45692</v>
      </c>
      <c r="B137" s="17" t="s">
        <v>230</v>
      </c>
      <c r="C137" s="26">
        <v>7238629</v>
      </c>
      <c r="D137" s="10" t="s">
        <v>53</v>
      </c>
      <c r="E137" s="11" t="s">
        <v>7</v>
      </c>
      <c r="F137" s="10" t="s">
        <v>217</v>
      </c>
      <c r="G137" s="19">
        <v>21.25</v>
      </c>
      <c r="H137" t="s">
        <v>34</v>
      </c>
      <c r="I137" s="2">
        <v>1</v>
      </c>
      <c r="J137" s="7">
        <v>0</v>
      </c>
      <c r="K137" t="s">
        <v>34</v>
      </c>
      <c r="L137" t="b">
        <v>1</v>
      </c>
      <c r="M137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37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37">
        <f>ROW()</f>
        <v>137</v>
      </c>
    </row>
    <row r="138" spans="1:15" x14ac:dyDescent="0.35">
      <c r="A138" s="8">
        <v>45692</v>
      </c>
      <c r="B138" s="17" t="s">
        <v>231</v>
      </c>
      <c r="C138" s="26">
        <v>6497947</v>
      </c>
      <c r="D138" s="10" t="s">
        <v>53</v>
      </c>
      <c r="E138" s="11" t="s">
        <v>7</v>
      </c>
      <c r="F138" s="10" t="s">
        <v>217</v>
      </c>
      <c r="G138" s="19">
        <v>14.65</v>
      </c>
      <c r="H138" t="s">
        <v>34</v>
      </c>
      <c r="I138" s="2">
        <v>1</v>
      </c>
      <c r="J138" s="7">
        <v>0</v>
      </c>
      <c r="K138" t="s">
        <v>34</v>
      </c>
      <c r="L138" t="b">
        <v>1</v>
      </c>
      <c r="M138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38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38">
        <f>ROW()</f>
        <v>138</v>
      </c>
    </row>
    <row r="139" spans="1:15" x14ac:dyDescent="0.35">
      <c r="A139" s="8">
        <v>45692</v>
      </c>
      <c r="B139" s="17" t="s">
        <v>232</v>
      </c>
      <c r="C139" s="26">
        <v>4129903</v>
      </c>
      <c r="D139" s="10" t="s">
        <v>53</v>
      </c>
      <c r="E139" s="11" t="s">
        <v>7</v>
      </c>
      <c r="F139" s="10" t="s">
        <v>217</v>
      </c>
      <c r="G139" s="19">
        <v>11.69</v>
      </c>
      <c r="H139" t="s">
        <v>34</v>
      </c>
      <c r="I139" s="2">
        <v>1</v>
      </c>
      <c r="J139" s="7">
        <v>0</v>
      </c>
      <c r="K139" t="s">
        <v>34</v>
      </c>
      <c r="L139" t="b">
        <v>1</v>
      </c>
      <c r="M139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39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39">
        <f>ROW()</f>
        <v>139</v>
      </c>
    </row>
    <row r="140" spans="1:15" x14ac:dyDescent="0.35">
      <c r="A140" s="8">
        <v>45692</v>
      </c>
      <c r="B140" s="17" t="s">
        <v>233</v>
      </c>
      <c r="C140" s="26">
        <v>6128668</v>
      </c>
      <c r="D140" s="10" t="s">
        <v>53</v>
      </c>
      <c r="E140" s="11" t="s">
        <v>7</v>
      </c>
      <c r="F140" s="10" t="s">
        <v>217</v>
      </c>
      <c r="G140" s="19">
        <v>7.08</v>
      </c>
      <c r="H140" t="s">
        <v>34</v>
      </c>
      <c r="I140" s="2">
        <v>1</v>
      </c>
      <c r="J140" s="7">
        <v>0</v>
      </c>
      <c r="K140" t="s">
        <v>34</v>
      </c>
      <c r="L140" t="b">
        <v>1</v>
      </c>
      <c r="M140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40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40">
        <f>ROW()</f>
        <v>140</v>
      </c>
    </row>
    <row r="141" spans="1:15" x14ac:dyDescent="0.35">
      <c r="A141" s="8">
        <v>45692</v>
      </c>
      <c r="B141" s="17" t="s">
        <v>234</v>
      </c>
      <c r="C141" s="26">
        <v>2650257</v>
      </c>
      <c r="D141" s="10" t="s">
        <v>53</v>
      </c>
      <c r="E141" s="11" t="s">
        <v>7</v>
      </c>
      <c r="F141" s="10" t="s">
        <v>217</v>
      </c>
      <c r="G141" s="19">
        <v>7.07</v>
      </c>
      <c r="H141" t="s">
        <v>34</v>
      </c>
      <c r="I141" s="2">
        <v>1</v>
      </c>
      <c r="J141" s="7">
        <v>0</v>
      </c>
      <c r="K141" t="s">
        <v>34</v>
      </c>
      <c r="L141" t="b">
        <v>1</v>
      </c>
      <c r="M141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41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41">
        <f>ROW()</f>
        <v>141</v>
      </c>
    </row>
    <row r="142" spans="1:15" x14ac:dyDescent="0.35">
      <c r="A142" s="8">
        <v>45692</v>
      </c>
      <c r="B142" s="17" t="s">
        <v>235</v>
      </c>
      <c r="C142" s="26">
        <v>1400108</v>
      </c>
      <c r="D142" s="10" t="s">
        <v>53</v>
      </c>
      <c r="E142" s="11" t="s">
        <v>7</v>
      </c>
      <c r="F142" s="10" t="s">
        <v>217</v>
      </c>
      <c r="G142" s="19">
        <v>6.62</v>
      </c>
      <c r="H142" t="s">
        <v>34</v>
      </c>
      <c r="I142" s="2">
        <v>1</v>
      </c>
      <c r="J142" s="7">
        <v>0</v>
      </c>
      <c r="K142" t="s">
        <v>34</v>
      </c>
      <c r="L142" t="b">
        <v>1</v>
      </c>
      <c r="M142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42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42">
        <f>ROW()</f>
        <v>142</v>
      </c>
    </row>
    <row r="143" spans="1:15" x14ac:dyDescent="0.35">
      <c r="A143" s="8">
        <v>45692</v>
      </c>
      <c r="B143" s="17" t="s">
        <v>236</v>
      </c>
      <c r="C143" s="26">
        <v>7473125</v>
      </c>
      <c r="D143" s="10" t="s">
        <v>53</v>
      </c>
      <c r="E143" s="11" t="s">
        <v>7</v>
      </c>
      <c r="F143" s="10" t="s">
        <v>217</v>
      </c>
      <c r="G143" s="19">
        <v>6.48</v>
      </c>
      <c r="H143" t="s">
        <v>34</v>
      </c>
      <c r="I143" s="2">
        <v>1</v>
      </c>
      <c r="J143" s="7">
        <v>0</v>
      </c>
      <c r="K143" t="s">
        <v>34</v>
      </c>
      <c r="L143" t="b">
        <v>1</v>
      </c>
      <c r="M143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43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43">
        <f>ROW()</f>
        <v>143</v>
      </c>
    </row>
    <row r="144" spans="1:15" x14ac:dyDescent="0.35">
      <c r="A144" s="8">
        <v>45692</v>
      </c>
      <c r="B144" s="17" t="s">
        <v>237</v>
      </c>
      <c r="C144" s="26">
        <v>5637864</v>
      </c>
      <c r="D144" s="10" t="s">
        <v>53</v>
      </c>
      <c r="E144" s="11" t="s">
        <v>7</v>
      </c>
      <c r="F144" s="10" t="s">
        <v>217</v>
      </c>
      <c r="G144" s="19">
        <v>6.47</v>
      </c>
      <c r="H144" t="s">
        <v>34</v>
      </c>
      <c r="I144" s="2">
        <v>1</v>
      </c>
      <c r="J144" s="7">
        <v>0</v>
      </c>
      <c r="K144" t="s">
        <v>34</v>
      </c>
      <c r="L144" t="b">
        <v>1</v>
      </c>
      <c r="M144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44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44">
        <f>ROW()</f>
        <v>144</v>
      </c>
    </row>
    <row r="145" spans="1:15" x14ac:dyDescent="0.35">
      <c r="A145" s="8">
        <v>45692</v>
      </c>
      <c r="B145" s="17" t="s">
        <v>238</v>
      </c>
      <c r="C145" s="26">
        <v>2915772</v>
      </c>
      <c r="D145" s="10" t="s">
        <v>53</v>
      </c>
      <c r="E145" s="11" t="s">
        <v>7</v>
      </c>
      <c r="F145" s="10" t="s">
        <v>217</v>
      </c>
      <c r="G145" s="19">
        <v>6.44</v>
      </c>
      <c r="H145" t="s">
        <v>34</v>
      </c>
      <c r="I145" s="2">
        <v>1</v>
      </c>
      <c r="J145" s="7">
        <v>0</v>
      </c>
      <c r="K145" t="s">
        <v>34</v>
      </c>
      <c r="L145" t="b">
        <v>1</v>
      </c>
      <c r="M145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45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45">
        <f>ROW()</f>
        <v>145</v>
      </c>
    </row>
    <row r="146" spans="1:15" x14ac:dyDescent="0.35">
      <c r="A146" s="8">
        <v>45692</v>
      </c>
      <c r="B146" s="17" t="s">
        <v>239</v>
      </c>
      <c r="C146" s="26">
        <v>7704592</v>
      </c>
      <c r="D146" s="10" t="s">
        <v>45</v>
      </c>
      <c r="E146" s="11" t="s">
        <v>9</v>
      </c>
      <c r="F146" s="10" t="s">
        <v>240</v>
      </c>
      <c r="G146" s="19">
        <v>541940</v>
      </c>
      <c r="H146" t="s">
        <v>34</v>
      </c>
      <c r="I146" s="2">
        <v>1</v>
      </c>
      <c r="J146" s="7">
        <v>0</v>
      </c>
      <c r="K146" t="s">
        <v>34</v>
      </c>
      <c r="L146" t="b">
        <v>1</v>
      </c>
      <c r="M146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46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46">
        <f>ROW()</f>
        <v>146</v>
      </c>
    </row>
    <row r="147" spans="1:15" x14ac:dyDescent="0.35">
      <c r="A147" s="8">
        <v>45692</v>
      </c>
      <c r="B147" s="17" t="s">
        <v>241</v>
      </c>
      <c r="C147" s="26">
        <v>7678906</v>
      </c>
      <c r="D147" s="10" t="s">
        <v>58</v>
      </c>
      <c r="E147" s="11" t="s">
        <v>12</v>
      </c>
      <c r="F147" s="10" t="s">
        <v>242</v>
      </c>
      <c r="G147" s="19">
        <v>409290.11</v>
      </c>
      <c r="H147" t="s">
        <v>34</v>
      </c>
      <c r="I147" s="2">
        <v>1</v>
      </c>
      <c r="J147" s="7">
        <v>0</v>
      </c>
      <c r="K147" t="s">
        <v>34</v>
      </c>
      <c r="L147" t="b">
        <v>1</v>
      </c>
      <c r="M147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47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47">
        <f>ROW()</f>
        <v>147</v>
      </c>
    </row>
    <row r="148" spans="1:15" x14ac:dyDescent="0.35">
      <c r="A148" s="8">
        <v>45692</v>
      </c>
      <c r="B148" s="17" t="s">
        <v>243</v>
      </c>
      <c r="C148" s="26">
        <v>9735283</v>
      </c>
      <c r="D148" s="10" t="s">
        <v>45</v>
      </c>
      <c r="E148" s="11" t="s">
        <v>12</v>
      </c>
      <c r="F148" s="10" t="s">
        <v>244</v>
      </c>
      <c r="G148" s="19">
        <v>211335.73</v>
      </c>
      <c r="H148" t="s">
        <v>34</v>
      </c>
      <c r="I148" s="2">
        <v>1</v>
      </c>
      <c r="J148" s="7">
        <v>0</v>
      </c>
      <c r="K148" t="s">
        <v>34</v>
      </c>
      <c r="L148" t="b">
        <v>1</v>
      </c>
      <c r="M148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48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48">
        <f>ROW()</f>
        <v>148</v>
      </c>
    </row>
    <row r="149" spans="1:15" x14ac:dyDescent="0.35">
      <c r="A149" s="8">
        <v>45692</v>
      </c>
      <c r="B149" s="17" t="s">
        <v>245</v>
      </c>
      <c r="C149" s="26">
        <v>5454807</v>
      </c>
      <c r="D149" s="10" t="s">
        <v>45</v>
      </c>
      <c r="E149" s="11" t="s">
        <v>12</v>
      </c>
      <c r="F149" s="10" t="s">
        <v>244</v>
      </c>
      <c r="G149" s="19">
        <v>165649.78</v>
      </c>
      <c r="H149" t="s">
        <v>34</v>
      </c>
      <c r="I149" s="2">
        <v>1</v>
      </c>
      <c r="J149" s="7">
        <v>0</v>
      </c>
      <c r="K149" t="s">
        <v>34</v>
      </c>
      <c r="L149" t="b">
        <v>1</v>
      </c>
      <c r="M149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49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49">
        <f>ROW()</f>
        <v>149</v>
      </c>
    </row>
    <row r="150" spans="1:15" x14ac:dyDescent="0.35">
      <c r="A150" s="8">
        <v>45692</v>
      </c>
      <c r="B150" s="17" t="s">
        <v>246</v>
      </c>
      <c r="C150" s="26">
        <v>2048971</v>
      </c>
      <c r="D150" s="10" t="s">
        <v>247</v>
      </c>
      <c r="E150" s="11" t="s">
        <v>12</v>
      </c>
      <c r="F150" s="10" t="s">
        <v>248</v>
      </c>
      <c r="G150" s="19">
        <v>89295.44</v>
      </c>
      <c r="H150" t="s">
        <v>34</v>
      </c>
      <c r="I150" s="2">
        <v>1</v>
      </c>
      <c r="J150" s="7">
        <v>0</v>
      </c>
      <c r="K150" t="s">
        <v>34</v>
      </c>
      <c r="L150" t="b">
        <v>1</v>
      </c>
      <c r="M150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50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50">
        <f>ROW()</f>
        <v>150</v>
      </c>
    </row>
    <row r="151" spans="1:15" x14ac:dyDescent="0.35">
      <c r="A151" s="8">
        <v>45692</v>
      </c>
      <c r="B151" s="17" t="s">
        <v>249</v>
      </c>
      <c r="C151" s="26">
        <v>2356999</v>
      </c>
      <c r="D151" s="10" t="s">
        <v>247</v>
      </c>
      <c r="E151" s="11" t="s">
        <v>12</v>
      </c>
      <c r="F151" s="10" t="s">
        <v>248</v>
      </c>
      <c r="G151" s="19">
        <v>44490.91</v>
      </c>
      <c r="H151" t="s">
        <v>34</v>
      </c>
      <c r="I151" s="2">
        <v>1</v>
      </c>
      <c r="J151" s="7">
        <v>0</v>
      </c>
      <c r="K151" t="s">
        <v>34</v>
      </c>
      <c r="L151" t="b">
        <v>1</v>
      </c>
      <c r="M151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51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51">
        <f>ROW()</f>
        <v>151</v>
      </c>
    </row>
    <row r="152" spans="1:15" x14ac:dyDescent="0.35">
      <c r="A152" s="8">
        <v>45692</v>
      </c>
      <c r="B152" s="17" t="s">
        <v>250</v>
      </c>
      <c r="C152" s="26">
        <v>1203355</v>
      </c>
      <c r="D152" s="10" t="s">
        <v>45</v>
      </c>
      <c r="E152" s="11" t="s">
        <v>12</v>
      </c>
      <c r="F152" s="10" t="s">
        <v>251</v>
      </c>
      <c r="G152" s="19">
        <v>8247.91</v>
      </c>
      <c r="H152" t="s">
        <v>34</v>
      </c>
      <c r="I152" s="2">
        <v>1</v>
      </c>
      <c r="J152" s="7">
        <v>0</v>
      </c>
      <c r="K152" t="s">
        <v>34</v>
      </c>
      <c r="L152" t="b">
        <v>1</v>
      </c>
      <c r="M152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52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52">
        <f>ROW()</f>
        <v>152</v>
      </c>
    </row>
    <row r="153" spans="1:15" x14ac:dyDescent="0.35">
      <c r="A153" s="8">
        <v>45692</v>
      </c>
      <c r="B153" s="17" t="s">
        <v>252</v>
      </c>
      <c r="C153" s="26">
        <v>9710492</v>
      </c>
      <c r="D153" s="10" t="s">
        <v>247</v>
      </c>
      <c r="E153" s="11" t="s">
        <v>12</v>
      </c>
      <c r="F153" s="10" t="s">
        <v>253</v>
      </c>
      <c r="G153" s="19">
        <v>7683.72</v>
      </c>
      <c r="H153" t="s">
        <v>34</v>
      </c>
      <c r="I153" s="2">
        <v>1</v>
      </c>
      <c r="J153" s="7">
        <v>0</v>
      </c>
      <c r="K153" t="s">
        <v>34</v>
      </c>
      <c r="L153" t="b">
        <v>1</v>
      </c>
      <c r="M153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53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53">
        <f>ROW()</f>
        <v>153</v>
      </c>
    </row>
    <row r="154" spans="1:15" x14ac:dyDescent="0.35">
      <c r="A154" s="8">
        <v>45692</v>
      </c>
      <c r="B154" s="17" t="s">
        <v>254</v>
      </c>
      <c r="C154" s="26">
        <v>6087299</v>
      </c>
      <c r="D154" s="10" t="s">
        <v>53</v>
      </c>
      <c r="E154" s="11" t="s">
        <v>12</v>
      </c>
      <c r="F154" s="10" t="s">
        <v>255</v>
      </c>
      <c r="G154" s="19">
        <v>136.79</v>
      </c>
      <c r="H154" t="s">
        <v>34</v>
      </c>
      <c r="I154" s="2">
        <v>1</v>
      </c>
      <c r="J154" s="7">
        <v>0</v>
      </c>
      <c r="K154" t="s">
        <v>34</v>
      </c>
      <c r="L154" t="b">
        <v>1</v>
      </c>
      <c r="M154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54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54">
        <f>ROW()</f>
        <v>154</v>
      </c>
    </row>
    <row r="155" spans="1:15" x14ac:dyDescent="0.35">
      <c r="A155" s="8">
        <v>45692</v>
      </c>
      <c r="B155" s="17" t="s">
        <v>256</v>
      </c>
      <c r="C155" s="26">
        <v>2806910</v>
      </c>
      <c r="D155" s="10" t="s">
        <v>53</v>
      </c>
      <c r="E155" s="11" t="s">
        <v>12</v>
      </c>
      <c r="F155" s="10" t="s">
        <v>244</v>
      </c>
      <c r="G155" s="19">
        <v>133.07</v>
      </c>
      <c r="H155" t="s">
        <v>34</v>
      </c>
      <c r="I155" s="2">
        <v>1</v>
      </c>
      <c r="J155" s="7">
        <v>0</v>
      </c>
      <c r="K155" t="s">
        <v>34</v>
      </c>
      <c r="L155" t="b">
        <v>1</v>
      </c>
      <c r="M155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55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55">
        <f>ROW()</f>
        <v>155</v>
      </c>
    </row>
    <row r="156" spans="1:15" x14ac:dyDescent="0.35">
      <c r="A156" s="8">
        <v>45699</v>
      </c>
      <c r="B156" s="17" t="s">
        <v>257</v>
      </c>
      <c r="C156" s="26">
        <v>1734170</v>
      </c>
      <c r="D156" s="10" t="s">
        <v>45</v>
      </c>
      <c r="E156" s="11" t="s">
        <v>11</v>
      </c>
      <c r="F156" s="10" t="s">
        <v>258</v>
      </c>
      <c r="G156" s="19">
        <v>546083.70364979201</v>
      </c>
      <c r="H156" t="s">
        <v>34</v>
      </c>
      <c r="I156" s="2">
        <v>1</v>
      </c>
      <c r="J156" s="7">
        <v>0</v>
      </c>
      <c r="K156" t="s">
        <v>34</v>
      </c>
      <c r="L156" t="b">
        <v>1</v>
      </c>
      <c r="M156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56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56">
        <f>ROW()</f>
        <v>156</v>
      </c>
    </row>
    <row r="157" spans="1:15" x14ac:dyDescent="0.35">
      <c r="A157" s="8">
        <v>45701</v>
      </c>
      <c r="B157" s="17" t="s">
        <v>259</v>
      </c>
      <c r="C157" s="26">
        <v>7236515</v>
      </c>
      <c r="D157" s="10" t="s">
        <v>45</v>
      </c>
      <c r="E157" s="11" t="s">
        <v>11</v>
      </c>
      <c r="F157" s="10" t="s">
        <v>133</v>
      </c>
      <c r="G157" s="19">
        <v>105216000</v>
      </c>
      <c r="H157" t="s">
        <v>34</v>
      </c>
      <c r="I157" s="2">
        <v>1</v>
      </c>
      <c r="J157" s="7">
        <v>0</v>
      </c>
      <c r="K157" t="s">
        <v>34</v>
      </c>
      <c r="L157" t="b">
        <v>1</v>
      </c>
      <c r="M157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57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>High Customs Value</v>
      </c>
      <c r="O157">
        <f>ROW()</f>
        <v>157</v>
      </c>
    </row>
    <row r="158" spans="1:15" x14ac:dyDescent="0.35">
      <c r="A158" s="8">
        <v>45709</v>
      </c>
      <c r="B158" s="17" t="s">
        <v>260</v>
      </c>
      <c r="C158" s="26">
        <v>8320370</v>
      </c>
      <c r="D158" s="10" t="s">
        <v>45</v>
      </c>
      <c r="E158" s="11" t="s">
        <v>11</v>
      </c>
      <c r="F158" s="10" t="s">
        <v>261</v>
      </c>
      <c r="G158" s="19">
        <v>531049.18359480961</v>
      </c>
      <c r="H158" t="s">
        <v>34</v>
      </c>
      <c r="I158" s="2">
        <v>1</v>
      </c>
      <c r="J158" s="7">
        <v>0</v>
      </c>
      <c r="K158" t="s">
        <v>34</v>
      </c>
      <c r="L158" t="b">
        <v>1</v>
      </c>
      <c r="M158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58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58">
        <f>ROW()</f>
        <v>158</v>
      </c>
    </row>
    <row r="159" spans="1:15" x14ac:dyDescent="0.35">
      <c r="A159" s="8">
        <v>45712</v>
      </c>
      <c r="B159" s="17" t="s">
        <v>262</v>
      </c>
      <c r="C159" s="26">
        <v>6248541</v>
      </c>
      <c r="D159" s="10" t="s">
        <v>45</v>
      </c>
      <c r="E159" s="11" t="s">
        <v>11</v>
      </c>
      <c r="F159" s="10" t="s">
        <v>133</v>
      </c>
      <c r="G159" s="19">
        <v>105216000</v>
      </c>
      <c r="H159" t="s">
        <v>34</v>
      </c>
      <c r="I159" s="2">
        <v>1</v>
      </c>
      <c r="J159" s="7">
        <v>0</v>
      </c>
      <c r="K159" t="s">
        <v>34</v>
      </c>
      <c r="L159" t="b">
        <v>1</v>
      </c>
      <c r="M159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59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>High Customs Value</v>
      </c>
      <c r="O159">
        <f>ROW()</f>
        <v>159</v>
      </c>
    </row>
    <row r="160" spans="1:15" x14ac:dyDescent="0.35">
      <c r="A160" s="8">
        <v>45715</v>
      </c>
      <c r="B160" s="17" t="s">
        <v>263</v>
      </c>
      <c r="C160" s="26">
        <v>5196484</v>
      </c>
      <c r="D160" s="10" t="s">
        <v>45</v>
      </c>
      <c r="E160" s="11" t="s">
        <v>11</v>
      </c>
      <c r="F160" s="10" t="s">
        <v>133</v>
      </c>
      <c r="G160" s="19">
        <v>105216000</v>
      </c>
      <c r="H160" t="s">
        <v>34</v>
      </c>
      <c r="I160" s="2">
        <v>1</v>
      </c>
      <c r="J160" s="7">
        <v>0</v>
      </c>
      <c r="K160" t="s">
        <v>34</v>
      </c>
      <c r="L160" t="b">
        <v>1</v>
      </c>
      <c r="M160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60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>High Customs Value</v>
      </c>
      <c r="O160">
        <f>ROW()</f>
        <v>160</v>
      </c>
    </row>
    <row r="161" spans="1:15" x14ac:dyDescent="0.35">
      <c r="A161" s="8">
        <v>45715</v>
      </c>
      <c r="B161" s="17" t="s">
        <v>264</v>
      </c>
      <c r="C161" s="26">
        <v>2511057</v>
      </c>
      <c r="D161" s="10" t="s">
        <v>45</v>
      </c>
      <c r="E161" s="11" t="s">
        <v>11</v>
      </c>
      <c r="F161" s="10" t="s">
        <v>265</v>
      </c>
      <c r="G161" s="19">
        <v>490714.82922389999</v>
      </c>
      <c r="H161" t="s">
        <v>34</v>
      </c>
      <c r="I161" s="2">
        <v>1</v>
      </c>
      <c r="J161" s="7">
        <v>0</v>
      </c>
      <c r="K161" t="s">
        <v>34</v>
      </c>
      <c r="L161" t="b">
        <v>1</v>
      </c>
      <c r="M161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61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61">
        <f>ROW()</f>
        <v>161</v>
      </c>
    </row>
    <row r="162" spans="1:15" x14ac:dyDescent="0.35">
      <c r="A162" s="8">
        <v>45718</v>
      </c>
      <c r="B162" s="17" t="s">
        <v>266</v>
      </c>
      <c r="C162" s="26">
        <v>9059877</v>
      </c>
      <c r="D162" s="10" t="s">
        <v>267</v>
      </c>
      <c r="E162" s="11" t="s">
        <v>11</v>
      </c>
      <c r="F162" s="10" t="s">
        <v>133</v>
      </c>
      <c r="G162" s="19">
        <v>37000000</v>
      </c>
      <c r="H162" t="s">
        <v>34</v>
      </c>
      <c r="I162" s="2">
        <v>1</v>
      </c>
      <c r="J162" s="7">
        <v>0</v>
      </c>
      <c r="K162" t="s">
        <v>34</v>
      </c>
      <c r="L162" t="b">
        <v>1</v>
      </c>
      <c r="M162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62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>High Customs Value</v>
      </c>
      <c r="O162">
        <f>ROW()</f>
        <v>162</v>
      </c>
    </row>
    <row r="163" spans="1:15" x14ac:dyDescent="0.35">
      <c r="A163" s="8">
        <v>45721</v>
      </c>
      <c r="B163" s="17" t="s">
        <v>268</v>
      </c>
      <c r="C163" s="26">
        <v>5396934</v>
      </c>
      <c r="D163" s="10" t="s">
        <v>45</v>
      </c>
      <c r="E163" s="11" t="s">
        <v>11</v>
      </c>
      <c r="F163" s="10" t="s">
        <v>269</v>
      </c>
      <c r="G163" s="19">
        <v>504913.11147164158</v>
      </c>
      <c r="H163" t="s">
        <v>34</v>
      </c>
      <c r="I163" s="2">
        <v>1</v>
      </c>
      <c r="J163" s="7">
        <v>50633.512999999999</v>
      </c>
      <c r="K163" t="s">
        <v>34</v>
      </c>
      <c r="L163" t="b">
        <v>1</v>
      </c>
      <c r="M163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63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63">
        <f>ROW()</f>
        <v>163</v>
      </c>
    </row>
    <row r="164" spans="1:15" x14ac:dyDescent="0.35">
      <c r="A164" s="15">
        <v>45728</v>
      </c>
      <c r="B164" s="18" t="s">
        <v>270</v>
      </c>
      <c r="C164" s="27">
        <v>2469938</v>
      </c>
      <c r="D164" s="14" t="s">
        <v>267</v>
      </c>
      <c r="E164" s="16" t="s">
        <v>11</v>
      </c>
      <c r="F164" s="14" t="s">
        <v>133</v>
      </c>
      <c r="G164" s="19">
        <v>37000000</v>
      </c>
      <c r="H164" t="s">
        <v>34</v>
      </c>
      <c r="I164" s="2">
        <v>1</v>
      </c>
      <c r="J164" s="7">
        <v>0</v>
      </c>
      <c r="K164" t="s">
        <v>34</v>
      </c>
      <c r="L164" t="b">
        <v>1</v>
      </c>
      <c r="M164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64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>High Customs Value</v>
      </c>
      <c r="O164">
        <f>ROW()</f>
        <v>164</v>
      </c>
    </row>
    <row r="165" spans="1:15" x14ac:dyDescent="0.35">
      <c r="A165" s="8">
        <v>45728</v>
      </c>
      <c r="B165" s="17" t="s">
        <v>271</v>
      </c>
      <c r="C165" s="26">
        <v>5598401</v>
      </c>
      <c r="D165" s="10" t="s">
        <v>267</v>
      </c>
      <c r="E165" s="11" t="s">
        <v>11</v>
      </c>
      <c r="F165" s="10" t="s">
        <v>133</v>
      </c>
      <c r="G165" s="19">
        <v>37000000</v>
      </c>
      <c r="H165" t="s">
        <v>34</v>
      </c>
      <c r="I165" s="2">
        <v>1</v>
      </c>
      <c r="J165" s="7">
        <v>0</v>
      </c>
      <c r="K165" t="s">
        <v>34</v>
      </c>
      <c r="L165" t="b">
        <v>1</v>
      </c>
      <c r="M165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65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>High Customs Value</v>
      </c>
      <c r="O165">
        <f>ROW()</f>
        <v>165</v>
      </c>
    </row>
    <row r="166" spans="1:15" x14ac:dyDescent="0.35">
      <c r="A166" s="8">
        <v>45733</v>
      </c>
      <c r="B166" s="17" t="s">
        <v>272</v>
      </c>
      <c r="C166" s="26">
        <v>608350</v>
      </c>
      <c r="D166" s="10" t="s">
        <v>267</v>
      </c>
      <c r="E166" s="11" t="s">
        <v>11</v>
      </c>
      <c r="F166" s="10" t="s">
        <v>133</v>
      </c>
      <c r="G166" s="19">
        <v>37000000</v>
      </c>
      <c r="H166" t="s">
        <v>34</v>
      </c>
      <c r="I166" s="2">
        <v>1</v>
      </c>
      <c r="J166" s="7">
        <v>0</v>
      </c>
      <c r="K166" t="s">
        <v>34</v>
      </c>
      <c r="L166" t="b">
        <v>1</v>
      </c>
      <c r="M166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66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>High Customs Value</v>
      </c>
      <c r="O166">
        <f>ROW()</f>
        <v>166</v>
      </c>
    </row>
    <row r="167" spans="1:15" x14ac:dyDescent="0.35">
      <c r="A167" s="8">
        <v>45736</v>
      </c>
      <c r="B167" s="17" t="s">
        <v>273</v>
      </c>
      <c r="C167" s="26">
        <v>4879528</v>
      </c>
      <c r="D167" s="10" t="s">
        <v>45</v>
      </c>
      <c r="E167" s="11" t="s">
        <v>11</v>
      </c>
      <c r="F167" s="10" t="s">
        <v>261</v>
      </c>
      <c r="G167" s="19">
        <v>517226.44993536</v>
      </c>
      <c r="H167" t="s">
        <v>34</v>
      </c>
      <c r="I167" s="2">
        <v>1</v>
      </c>
      <c r="J167" s="7">
        <v>0</v>
      </c>
      <c r="K167" t="s">
        <v>34</v>
      </c>
      <c r="L167" t="b">
        <v>1</v>
      </c>
      <c r="M167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67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67">
        <f>ROW()</f>
        <v>167</v>
      </c>
    </row>
    <row r="168" spans="1:15" x14ac:dyDescent="0.35">
      <c r="A168" s="8">
        <v>45737</v>
      </c>
      <c r="B168" s="17" t="s">
        <v>274</v>
      </c>
      <c r="C168" s="26">
        <v>9812766</v>
      </c>
      <c r="D168" s="10" t="s">
        <v>45</v>
      </c>
      <c r="E168" s="11" t="s">
        <v>11</v>
      </c>
      <c r="F168" s="10" t="s">
        <v>165</v>
      </c>
      <c r="G168" s="19">
        <v>479464.6007385432</v>
      </c>
      <c r="H168" t="s">
        <v>34</v>
      </c>
      <c r="I168" s="2">
        <v>1</v>
      </c>
      <c r="J168" s="7">
        <v>0</v>
      </c>
      <c r="K168" t="s">
        <v>34</v>
      </c>
      <c r="L168" t="b">
        <v>1</v>
      </c>
      <c r="M168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68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68">
        <f>ROW()</f>
        <v>168</v>
      </c>
    </row>
    <row r="169" spans="1:15" x14ac:dyDescent="0.35">
      <c r="A169" s="8">
        <v>45740.557638888888</v>
      </c>
      <c r="B169" s="17" t="s">
        <v>275</v>
      </c>
      <c r="C169" s="26">
        <v>8244083</v>
      </c>
      <c r="D169" s="10" t="s">
        <v>267</v>
      </c>
      <c r="E169" s="11" t="s">
        <v>11</v>
      </c>
      <c r="F169" s="10">
        <v>2918140100</v>
      </c>
      <c r="G169" s="19">
        <v>37000000</v>
      </c>
      <c r="H169" t="s">
        <v>34</v>
      </c>
      <c r="J169" s="7">
        <v>0</v>
      </c>
      <c r="K169" t="s">
        <v>34</v>
      </c>
      <c r="L169" t="b">
        <v>1</v>
      </c>
      <c r="M169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69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>High Customs Value</v>
      </c>
      <c r="O169">
        <f>ROW()</f>
        <v>169</v>
      </c>
    </row>
    <row r="170" spans="1:15" x14ac:dyDescent="0.35">
      <c r="A170" s="8">
        <v>45747.537499999999</v>
      </c>
      <c r="B170" s="17" t="s">
        <v>276</v>
      </c>
      <c r="C170" s="26">
        <v>4892438</v>
      </c>
      <c r="D170" s="10" t="s">
        <v>267</v>
      </c>
      <c r="E170" s="11" t="s">
        <v>11</v>
      </c>
      <c r="F170" s="10">
        <v>2918140100</v>
      </c>
      <c r="G170" s="19">
        <v>37000000</v>
      </c>
      <c r="H170" t="s">
        <v>34</v>
      </c>
      <c r="J170" s="7">
        <v>0</v>
      </c>
      <c r="K170" t="s">
        <v>34</v>
      </c>
      <c r="L170" t="b">
        <v>1</v>
      </c>
      <c r="M170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70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>High Customs Value</v>
      </c>
      <c r="O170">
        <f>ROW()</f>
        <v>170</v>
      </c>
    </row>
    <row r="171" spans="1:15" x14ac:dyDescent="0.35">
      <c r="A171" s="8">
        <v>45758.527777777781</v>
      </c>
      <c r="B171" s="17" t="s">
        <v>277</v>
      </c>
      <c r="C171" s="26">
        <v>611037</v>
      </c>
      <c r="D171" s="10" t="s">
        <v>45</v>
      </c>
      <c r="E171" s="11" t="s">
        <v>11</v>
      </c>
      <c r="F171" s="10">
        <v>3004909999</v>
      </c>
      <c r="G171" s="19">
        <v>524432.56140000001</v>
      </c>
      <c r="H171" t="s">
        <v>34</v>
      </c>
      <c r="J171" s="7">
        <v>0</v>
      </c>
      <c r="K171" t="s">
        <v>34</v>
      </c>
      <c r="L171" t="b">
        <v>1</v>
      </c>
      <c r="M171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71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71">
        <f>ROW()</f>
        <v>171</v>
      </c>
    </row>
    <row r="172" spans="1:15" x14ac:dyDescent="0.35">
      <c r="A172" s="8">
        <v>45771.55972222222</v>
      </c>
      <c r="B172" s="17" t="s">
        <v>278</v>
      </c>
      <c r="C172" s="26">
        <v>621885</v>
      </c>
      <c r="D172" s="10" t="s">
        <v>267</v>
      </c>
      <c r="E172" s="11" t="s">
        <v>11</v>
      </c>
      <c r="F172" s="10">
        <v>2918140100</v>
      </c>
      <c r="G172" s="19">
        <v>37000000</v>
      </c>
      <c r="H172" t="s">
        <v>34</v>
      </c>
      <c r="J172" s="7">
        <v>0</v>
      </c>
      <c r="K172" t="s">
        <v>34</v>
      </c>
      <c r="L172" t="b">
        <v>1</v>
      </c>
      <c r="M172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72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>High Customs Value</v>
      </c>
      <c r="O172">
        <f>ROW()</f>
        <v>172</v>
      </c>
    </row>
    <row r="173" spans="1:15" x14ac:dyDescent="0.35">
      <c r="A173" s="8">
        <v>45778.369444444441</v>
      </c>
      <c r="B173" s="17" t="s">
        <v>279</v>
      </c>
      <c r="C173" s="26">
        <v>5163816</v>
      </c>
      <c r="D173" s="10" t="s">
        <v>4</v>
      </c>
      <c r="E173" s="11" t="s">
        <v>11</v>
      </c>
      <c r="F173" s="10">
        <v>2106909999</v>
      </c>
      <c r="G173" s="19">
        <v>491996.20877193892</v>
      </c>
      <c r="H173" t="s">
        <v>34</v>
      </c>
      <c r="J173" s="7">
        <v>70941.366999999998</v>
      </c>
      <c r="K173" t="s">
        <v>34</v>
      </c>
      <c r="L173" t="b">
        <v>1</v>
      </c>
      <c r="M173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73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73">
        <f>ROW()</f>
        <v>173</v>
      </c>
    </row>
    <row r="174" spans="1:15" x14ac:dyDescent="0.35">
      <c r="A174" s="8">
        <v>45789</v>
      </c>
      <c r="B174" s="17" t="s">
        <v>280</v>
      </c>
      <c r="C174" s="26">
        <v>7790566</v>
      </c>
      <c r="D174" s="10" t="s">
        <v>45</v>
      </c>
      <c r="E174" s="11" t="s">
        <v>10</v>
      </c>
      <c r="F174" s="10">
        <v>3002150000</v>
      </c>
      <c r="G174" s="20">
        <v>647753293</v>
      </c>
      <c r="H174" t="s">
        <v>34</v>
      </c>
      <c r="J174" s="7">
        <v>0</v>
      </c>
      <c r="K174" t="s">
        <v>34</v>
      </c>
      <c r="L174" t="b">
        <v>1</v>
      </c>
      <c r="M174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74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>High Customs Value</v>
      </c>
      <c r="O174">
        <f>ROW()</f>
        <v>174</v>
      </c>
    </row>
    <row r="175" spans="1:15" x14ac:dyDescent="0.35">
      <c r="A175" s="8">
        <v>45791.749305555553</v>
      </c>
      <c r="B175" s="17" t="s">
        <v>281</v>
      </c>
      <c r="C175" s="26">
        <v>7464958</v>
      </c>
      <c r="D175" s="10" t="s">
        <v>282</v>
      </c>
      <c r="E175" s="11" t="s">
        <v>11</v>
      </c>
      <c r="F175" s="10">
        <v>3002129999</v>
      </c>
      <c r="G175" s="19">
        <v>572338.76826711337</v>
      </c>
      <c r="H175" t="s">
        <v>34</v>
      </c>
      <c r="J175" s="7">
        <v>0</v>
      </c>
      <c r="K175" t="s">
        <v>34</v>
      </c>
      <c r="L175" t="b">
        <v>1</v>
      </c>
      <c r="M175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75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75">
        <f>ROW()</f>
        <v>175</v>
      </c>
    </row>
    <row r="176" spans="1:15" x14ac:dyDescent="0.35">
      <c r="A176" s="8">
        <v>45797.532638888893</v>
      </c>
      <c r="B176" s="17" t="s">
        <v>283</v>
      </c>
      <c r="C176" s="26">
        <v>7041021</v>
      </c>
      <c r="D176" s="10" t="s">
        <v>45</v>
      </c>
      <c r="E176" s="11" t="s">
        <v>11</v>
      </c>
      <c r="F176" s="10">
        <v>2918140100</v>
      </c>
      <c r="G176" s="19">
        <v>106534800</v>
      </c>
      <c r="H176" t="s">
        <v>34</v>
      </c>
      <c r="J176" s="7">
        <v>0</v>
      </c>
      <c r="K176" t="s">
        <v>34</v>
      </c>
      <c r="L176" t="b">
        <v>1</v>
      </c>
      <c r="M176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76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>High Customs Value</v>
      </c>
      <c r="O176">
        <f>ROW()</f>
        <v>176</v>
      </c>
    </row>
    <row r="177" spans="1:15" x14ac:dyDescent="0.35">
      <c r="A177" s="8">
        <v>45797.535416666673</v>
      </c>
      <c r="B177" s="17" t="s">
        <v>284</v>
      </c>
      <c r="C177" s="26">
        <v>6299461</v>
      </c>
      <c r="D177" s="10" t="s">
        <v>45</v>
      </c>
      <c r="E177" s="11" t="s">
        <v>11</v>
      </c>
      <c r="F177" s="10">
        <v>2918140100</v>
      </c>
      <c r="G177" s="19">
        <v>106534800</v>
      </c>
      <c r="H177" t="s">
        <v>34</v>
      </c>
      <c r="J177" s="7">
        <v>0</v>
      </c>
      <c r="K177" t="s">
        <v>34</v>
      </c>
      <c r="L177" t="b">
        <v>1</v>
      </c>
      <c r="M177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77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>High Customs Value</v>
      </c>
      <c r="O177">
        <f>ROW()</f>
        <v>177</v>
      </c>
    </row>
    <row r="178" spans="1:15" x14ac:dyDescent="0.35">
      <c r="A178" s="8">
        <v>45797.537499999999</v>
      </c>
      <c r="B178" s="17" t="s">
        <v>285</v>
      </c>
      <c r="C178" s="26">
        <v>3432856</v>
      </c>
      <c r="D178" s="10" t="s">
        <v>45</v>
      </c>
      <c r="E178" s="11" t="s">
        <v>11</v>
      </c>
      <c r="F178" s="10">
        <v>2918140100</v>
      </c>
      <c r="G178" s="19">
        <v>106534800</v>
      </c>
      <c r="H178" t="s">
        <v>34</v>
      </c>
      <c r="J178" s="7">
        <v>0</v>
      </c>
      <c r="K178" t="s">
        <v>34</v>
      </c>
      <c r="L178" t="b">
        <v>1</v>
      </c>
      <c r="M178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78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>High Customs Value</v>
      </c>
      <c r="O178">
        <f>ROW()</f>
        <v>178</v>
      </c>
    </row>
    <row r="179" spans="1:15" x14ac:dyDescent="0.35">
      <c r="A179" s="8">
        <v>45797.663888888892</v>
      </c>
      <c r="B179" s="17" t="s">
        <v>286</v>
      </c>
      <c r="C179" s="26">
        <v>5018337</v>
      </c>
      <c r="D179" s="10" t="s">
        <v>45</v>
      </c>
      <c r="E179" s="11" t="s">
        <v>11</v>
      </c>
      <c r="F179" s="10">
        <v>2918140100</v>
      </c>
      <c r="G179" s="19">
        <v>106534800</v>
      </c>
      <c r="H179" t="s">
        <v>34</v>
      </c>
      <c r="J179" s="7">
        <v>0</v>
      </c>
      <c r="K179" t="s">
        <v>34</v>
      </c>
      <c r="L179" t="b">
        <v>1</v>
      </c>
      <c r="M179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79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>High Customs Value</v>
      </c>
      <c r="O179">
        <f>ROW()</f>
        <v>179</v>
      </c>
    </row>
    <row r="180" spans="1:15" x14ac:dyDescent="0.35">
      <c r="A180" s="8">
        <v>45797.667361111111</v>
      </c>
      <c r="B180" s="17" t="s">
        <v>287</v>
      </c>
      <c r="C180" s="26">
        <v>7140622</v>
      </c>
      <c r="D180" s="10" t="s">
        <v>45</v>
      </c>
      <c r="E180" s="11" t="s">
        <v>11</v>
      </c>
      <c r="F180" s="10">
        <v>2918140100</v>
      </c>
      <c r="G180" s="19">
        <v>106534800</v>
      </c>
      <c r="H180" t="s">
        <v>34</v>
      </c>
      <c r="J180" s="7">
        <v>0</v>
      </c>
      <c r="K180" t="s">
        <v>34</v>
      </c>
      <c r="L180" t="b">
        <v>1</v>
      </c>
      <c r="M180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80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>High Customs Value</v>
      </c>
      <c r="O180">
        <f>ROW()</f>
        <v>180</v>
      </c>
    </row>
    <row r="181" spans="1:15" x14ac:dyDescent="0.35">
      <c r="A181" s="8">
        <v>45798.670138888891</v>
      </c>
      <c r="B181" s="17" t="s">
        <v>288</v>
      </c>
      <c r="C181" s="26">
        <v>3776544</v>
      </c>
      <c r="D181" s="10" t="s">
        <v>58</v>
      </c>
      <c r="E181" s="11" t="s">
        <v>11</v>
      </c>
      <c r="F181" s="10">
        <v>3006600100</v>
      </c>
      <c r="G181" s="19">
        <v>578001.26510532002</v>
      </c>
      <c r="H181" t="s">
        <v>34</v>
      </c>
      <c r="J181" s="7">
        <v>0</v>
      </c>
      <c r="K181" t="s">
        <v>34</v>
      </c>
      <c r="L181" t="b">
        <v>1</v>
      </c>
      <c r="M181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81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81">
        <f>ROW()</f>
        <v>181</v>
      </c>
    </row>
    <row r="182" spans="1:15" x14ac:dyDescent="0.35">
      <c r="A182" s="8">
        <v>45800.661111111112</v>
      </c>
      <c r="B182" s="17" t="s">
        <v>289</v>
      </c>
      <c r="C182" s="26">
        <v>9937991</v>
      </c>
      <c r="D182" s="10" t="s">
        <v>4</v>
      </c>
      <c r="E182" s="11" t="s">
        <v>11</v>
      </c>
      <c r="F182" s="10">
        <v>2106909999</v>
      </c>
      <c r="G182" s="19">
        <v>491802.07481917122</v>
      </c>
      <c r="H182" t="s">
        <v>34</v>
      </c>
      <c r="J182" s="7">
        <v>55957.362999999998</v>
      </c>
      <c r="K182" t="s">
        <v>34</v>
      </c>
      <c r="L182" t="b">
        <v>1</v>
      </c>
      <c r="M182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82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82">
        <f>ROW()</f>
        <v>182</v>
      </c>
    </row>
    <row r="183" spans="1:15" x14ac:dyDescent="0.35">
      <c r="A183" s="8">
        <v>45810.585416666669</v>
      </c>
      <c r="B183" s="17" t="s">
        <v>290</v>
      </c>
      <c r="C183" s="26">
        <v>2238256</v>
      </c>
      <c r="D183" s="10" t="s">
        <v>45</v>
      </c>
      <c r="E183" s="11" t="s">
        <v>11</v>
      </c>
      <c r="F183" s="10" t="s">
        <v>133</v>
      </c>
      <c r="G183" s="19">
        <v>106534800</v>
      </c>
      <c r="H183" t="s">
        <v>34</v>
      </c>
      <c r="I183" s="2">
        <v>0</v>
      </c>
      <c r="J183" s="7">
        <v>0</v>
      </c>
      <c r="K183" t="s">
        <v>34</v>
      </c>
      <c r="L183" t="b">
        <v>1</v>
      </c>
      <c r="M183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83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>High Customs Value</v>
      </c>
      <c r="O183">
        <f>ROW()</f>
        <v>183</v>
      </c>
    </row>
    <row r="184" spans="1:15" x14ac:dyDescent="0.35">
      <c r="A184" s="8">
        <v>45810.586805555547</v>
      </c>
      <c r="B184" s="17" t="s">
        <v>291</v>
      </c>
      <c r="C184" s="26">
        <v>8823112</v>
      </c>
      <c r="D184" s="10" t="s">
        <v>45</v>
      </c>
      <c r="E184" s="11" t="s">
        <v>11</v>
      </c>
      <c r="F184" s="10" t="s">
        <v>133</v>
      </c>
      <c r="G184" s="19">
        <v>106534800</v>
      </c>
      <c r="H184" t="s">
        <v>34</v>
      </c>
      <c r="I184" s="2">
        <v>0</v>
      </c>
      <c r="J184" s="7">
        <v>0</v>
      </c>
      <c r="K184" t="s">
        <v>34</v>
      </c>
      <c r="L184" t="b">
        <v>1</v>
      </c>
      <c r="M184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84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>High Customs Value</v>
      </c>
      <c r="O184">
        <f>ROW()</f>
        <v>184</v>
      </c>
    </row>
    <row r="185" spans="1:15" x14ac:dyDescent="0.35">
      <c r="A185" s="8">
        <v>45827.636111111111</v>
      </c>
      <c r="B185" s="17" t="s">
        <v>292</v>
      </c>
      <c r="C185" s="26">
        <v>8706301</v>
      </c>
      <c r="D185" s="10" t="s">
        <v>45</v>
      </c>
      <c r="E185" s="11" t="s">
        <v>11</v>
      </c>
      <c r="F185" s="10" t="s">
        <v>165</v>
      </c>
      <c r="G185" s="19">
        <v>477425.02331159997</v>
      </c>
      <c r="H185" t="s">
        <v>34</v>
      </c>
      <c r="I185" s="2">
        <v>0</v>
      </c>
      <c r="J185" s="7">
        <v>0</v>
      </c>
      <c r="K185" t="s">
        <v>34</v>
      </c>
      <c r="L185" t="b">
        <v>1</v>
      </c>
      <c r="M185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85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85">
        <f>ROW()</f>
        <v>185</v>
      </c>
    </row>
    <row r="186" spans="1:15" x14ac:dyDescent="0.35">
      <c r="A186" s="8">
        <v>45840.638888888891</v>
      </c>
      <c r="B186" s="17" t="s">
        <v>293</v>
      </c>
      <c r="C186" s="28">
        <v>9013383</v>
      </c>
      <c r="D186" s="10" t="s">
        <v>75</v>
      </c>
      <c r="E186" s="11" t="s">
        <v>11</v>
      </c>
      <c r="F186" s="9">
        <v>3004509999</v>
      </c>
      <c r="G186" s="19">
        <v>474583.73886892642</v>
      </c>
      <c r="H186" t="s">
        <v>34</v>
      </c>
      <c r="J186" s="7">
        <v>0</v>
      </c>
      <c r="K186" t="s">
        <v>34</v>
      </c>
      <c r="L186" t="b">
        <v>1</v>
      </c>
      <c r="M186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86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86">
        <f>ROW()</f>
        <v>186</v>
      </c>
    </row>
    <row r="187" spans="1:15" x14ac:dyDescent="0.35">
      <c r="A187" s="8">
        <v>45848</v>
      </c>
      <c r="B187" s="17" t="s">
        <v>294</v>
      </c>
      <c r="C187" s="28">
        <v>6541999</v>
      </c>
      <c r="D187" s="10" t="s">
        <v>45</v>
      </c>
      <c r="E187" s="11" t="s">
        <v>11</v>
      </c>
      <c r="F187" s="22">
        <v>30049099</v>
      </c>
      <c r="G187" s="19">
        <v>496137.02427442558</v>
      </c>
      <c r="H187" t="s">
        <v>34</v>
      </c>
      <c r="J187" s="7">
        <v>0</v>
      </c>
      <c r="K187" t="s">
        <v>34</v>
      </c>
      <c r="L187" t="b">
        <v>1</v>
      </c>
      <c r="M187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87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87">
        <f>ROW()</f>
        <v>187</v>
      </c>
    </row>
    <row r="188" spans="1:15" x14ac:dyDescent="0.35">
      <c r="A188" s="8">
        <v>45848.517361111109</v>
      </c>
      <c r="B188" s="17" t="s">
        <v>295</v>
      </c>
      <c r="C188" s="28">
        <v>3231784</v>
      </c>
      <c r="D188" s="10" t="s">
        <v>45</v>
      </c>
      <c r="E188" s="11" t="s">
        <v>11</v>
      </c>
      <c r="F188" s="22">
        <v>3006600100</v>
      </c>
      <c r="G188" s="19">
        <v>578533.89868032001</v>
      </c>
      <c r="H188" t="s">
        <v>34</v>
      </c>
      <c r="J188" s="7">
        <v>86780.084802048004</v>
      </c>
      <c r="K188" t="s">
        <v>34</v>
      </c>
      <c r="L188" t="b">
        <v>1</v>
      </c>
      <c r="M188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88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88">
        <f>ROW()</f>
        <v>188</v>
      </c>
    </row>
    <row r="189" spans="1:15" x14ac:dyDescent="0.35">
      <c r="A189" s="8">
        <v>45863.40347222222</v>
      </c>
      <c r="B189" s="17" t="s">
        <v>296</v>
      </c>
      <c r="C189" s="28">
        <v>7099053</v>
      </c>
      <c r="D189" s="10" t="s">
        <v>45</v>
      </c>
      <c r="E189" s="11" t="s">
        <v>11</v>
      </c>
      <c r="F189" s="9">
        <v>3006600100</v>
      </c>
      <c r="G189" s="19">
        <v>543990.780580992</v>
      </c>
      <c r="H189" t="s">
        <v>34</v>
      </c>
      <c r="J189" s="7">
        <v>0</v>
      </c>
      <c r="K189" t="s">
        <v>34</v>
      </c>
      <c r="L189" t="b">
        <v>1</v>
      </c>
      <c r="M189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89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89">
        <f>ROW()</f>
        <v>189</v>
      </c>
    </row>
    <row r="190" spans="1:15" x14ac:dyDescent="0.35">
      <c r="A190" s="8">
        <v>45868.663194444453</v>
      </c>
      <c r="B190" s="17" t="s">
        <v>297</v>
      </c>
      <c r="C190" s="28">
        <v>9863349</v>
      </c>
      <c r="D190" s="10" t="s">
        <v>45</v>
      </c>
      <c r="E190" s="11" t="s">
        <v>11</v>
      </c>
      <c r="F190" s="22">
        <v>2918140100</v>
      </c>
      <c r="G190" s="19">
        <v>104385664</v>
      </c>
      <c r="H190" t="s">
        <v>34</v>
      </c>
      <c r="J190" s="7">
        <v>0</v>
      </c>
      <c r="K190" t="s">
        <v>34</v>
      </c>
      <c r="L190" t="b">
        <v>1</v>
      </c>
      <c r="M190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90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>High Customs Value</v>
      </c>
      <c r="O190">
        <f>ROW()</f>
        <v>190</v>
      </c>
    </row>
    <row r="191" spans="1:15" x14ac:dyDescent="0.35">
      <c r="A191" s="8">
        <v>45868.664583333331</v>
      </c>
      <c r="B191" s="17" t="s">
        <v>298</v>
      </c>
      <c r="C191" s="28">
        <v>1224203</v>
      </c>
      <c r="D191" s="10" t="s">
        <v>45</v>
      </c>
      <c r="E191" s="11" t="s">
        <v>11</v>
      </c>
      <c r="F191" s="9">
        <v>2918140100</v>
      </c>
      <c r="G191" s="19">
        <v>104385664</v>
      </c>
      <c r="H191" t="s">
        <v>34</v>
      </c>
      <c r="J191" s="7">
        <v>0</v>
      </c>
      <c r="K191" t="s">
        <v>34</v>
      </c>
      <c r="L191" t="b">
        <v>1</v>
      </c>
      <c r="M191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91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>High Customs Value</v>
      </c>
      <c r="O191">
        <f>ROW()</f>
        <v>191</v>
      </c>
    </row>
    <row r="192" spans="1:15" x14ac:dyDescent="0.35">
      <c r="A192" s="8">
        <v>45868.668055555558</v>
      </c>
      <c r="B192" s="17" t="s">
        <v>299</v>
      </c>
      <c r="C192" s="28">
        <v>1576763</v>
      </c>
      <c r="D192" s="10" t="s">
        <v>45</v>
      </c>
      <c r="E192" s="11" t="s">
        <v>11</v>
      </c>
      <c r="F192" s="22">
        <v>2918140100</v>
      </c>
      <c r="G192" s="19">
        <v>104385664</v>
      </c>
      <c r="H192" t="s">
        <v>34</v>
      </c>
      <c r="J192" s="7">
        <v>0</v>
      </c>
      <c r="K192" t="s">
        <v>34</v>
      </c>
      <c r="L192" t="b">
        <v>1</v>
      </c>
      <c r="M192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92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>High Customs Value</v>
      </c>
      <c r="O192">
        <f>ROW()</f>
        <v>192</v>
      </c>
    </row>
    <row r="193" spans="1:15" x14ac:dyDescent="0.35">
      <c r="A193" s="8">
        <v>45868.67083333333</v>
      </c>
      <c r="B193" s="17" t="s">
        <v>300</v>
      </c>
      <c r="C193" s="28">
        <v>7935997</v>
      </c>
      <c r="D193" s="10" t="s">
        <v>45</v>
      </c>
      <c r="E193" s="11" t="s">
        <v>11</v>
      </c>
      <c r="F193" s="9">
        <v>2918140100</v>
      </c>
      <c r="G193" s="19">
        <v>104385664</v>
      </c>
      <c r="H193" t="s">
        <v>34</v>
      </c>
      <c r="J193" s="7">
        <v>0</v>
      </c>
      <c r="K193" t="s">
        <v>34</v>
      </c>
      <c r="L193" t="b">
        <v>1</v>
      </c>
      <c r="M193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93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>High Customs Value</v>
      </c>
      <c r="O193">
        <f>ROW()</f>
        <v>193</v>
      </c>
    </row>
    <row r="194" spans="1:15" x14ac:dyDescent="0.35">
      <c r="A194" s="8">
        <v>45880.573611111111</v>
      </c>
      <c r="B194" s="17" t="s">
        <v>301</v>
      </c>
      <c r="C194" s="26">
        <v>3208909</v>
      </c>
      <c r="D194" s="10" t="s">
        <v>45</v>
      </c>
      <c r="E194" s="11" t="s">
        <v>11</v>
      </c>
      <c r="F194" s="10">
        <v>3006600100</v>
      </c>
      <c r="G194" s="19">
        <v>519089.15623278002</v>
      </c>
      <c r="H194" t="s">
        <v>34</v>
      </c>
      <c r="I194" s="2">
        <v>170.13</v>
      </c>
      <c r="J194" s="21">
        <v>0</v>
      </c>
      <c r="K194" t="s">
        <v>34</v>
      </c>
      <c r="L194" t="b">
        <v>0</v>
      </c>
      <c r="M194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94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94">
        <f>ROW()</f>
        <v>194</v>
      </c>
    </row>
    <row r="195" spans="1:15" x14ac:dyDescent="0.35">
      <c r="A195" s="8">
        <v>45882.718055555553</v>
      </c>
      <c r="B195" s="17" t="s">
        <v>302</v>
      </c>
      <c r="C195" s="26">
        <v>9184007</v>
      </c>
      <c r="D195" s="10" t="s">
        <v>45</v>
      </c>
      <c r="E195" s="11" t="s">
        <v>11</v>
      </c>
      <c r="F195" s="10">
        <v>3004509999</v>
      </c>
      <c r="G195" s="19">
        <v>528233.978006928</v>
      </c>
      <c r="H195" t="s">
        <v>34</v>
      </c>
      <c r="I195" s="2">
        <v>136.34</v>
      </c>
      <c r="J195" s="21">
        <v>0</v>
      </c>
      <c r="K195" t="s">
        <v>34</v>
      </c>
      <c r="L195" t="b">
        <v>0</v>
      </c>
      <c r="M195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95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95">
        <f>ROW()</f>
        <v>195</v>
      </c>
    </row>
    <row r="196" spans="1:15" x14ac:dyDescent="0.35">
      <c r="A196" s="8">
        <v>45888.674305555563</v>
      </c>
      <c r="B196" s="17" t="s">
        <v>303</v>
      </c>
      <c r="C196" s="26">
        <v>5226126</v>
      </c>
      <c r="D196" s="10" t="s">
        <v>304</v>
      </c>
      <c r="E196" s="11" t="s">
        <v>11</v>
      </c>
      <c r="F196" s="10">
        <v>9018909999</v>
      </c>
      <c r="G196" s="19">
        <v>597257.66809799999</v>
      </c>
      <c r="H196" t="s">
        <v>34</v>
      </c>
      <c r="I196" s="2">
        <v>1597.05</v>
      </c>
      <c r="J196" s="21">
        <v>0</v>
      </c>
      <c r="K196" t="s">
        <v>34</v>
      </c>
      <c r="L196" t="b">
        <v>0</v>
      </c>
      <c r="M196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96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96">
        <f>ROW()</f>
        <v>196</v>
      </c>
    </row>
    <row r="197" spans="1:15" x14ac:dyDescent="0.35">
      <c r="A197" s="8">
        <v>45890.800694444442</v>
      </c>
      <c r="B197" s="17" t="s">
        <v>305</v>
      </c>
      <c r="C197" s="26">
        <v>7701194</v>
      </c>
      <c r="D197" s="10" t="s">
        <v>45</v>
      </c>
      <c r="E197" s="11" t="s">
        <v>309</v>
      </c>
      <c r="F197" s="10">
        <v>2918140100</v>
      </c>
      <c r="G197" s="19">
        <v>101823616</v>
      </c>
      <c r="H197" t="s">
        <v>34</v>
      </c>
      <c r="I197" s="2">
        <v>5560</v>
      </c>
      <c r="J197" s="21">
        <v>0</v>
      </c>
      <c r="K197" t="s">
        <v>34</v>
      </c>
      <c r="L197" t="b">
        <v>0</v>
      </c>
      <c r="M197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97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>High Customs Value</v>
      </c>
      <c r="O197">
        <f>ROW()</f>
        <v>197</v>
      </c>
    </row>
    <row r="198" spans="1:15" x14ac:dyDescent="0.35">
      <c r="A198" s="8">
        <v>45897.510416666657</v>
      </c>
      <c r="B198" s="17" t="s">
        <v>306</v>
      </c>
      <c r="C198" s="26">
        <v>841496</v>
      </c>
      <c r="D198" s="10" t="s">
        <v>45</v>
      </c>
      <c r="E198" s="11" t="s">
        <v>309</v>
      </c>
      <c r="F198" s="10">
        <v>2918140100</v>
      </c>
      <c r="G198" s="19">
        <v>528233.978006928</v>
      </c>
      <c r="H198" t="s">
        <v>34</v>
      </c>
      <c r="I198" s="2">
        <v>5560</v>
      </c>
      <c r="J198" s="21">
        <v>0</v>
      </c>
      <c r="K198" t="s">
        <v>34</v>
      </c>
      <c r="L198" t="b">
        <v>0</v>
      </c>
      <c r="M198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98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98">
        <f>ROW()</f>
        <v>198</v>
      </c>
    </row>
    <row r="199" spans="1:15" x14ac:dyDescent="0.35">
      <c r="A199" s="8">
        <v>45897.511111111111</v>
      </c>
      <c r="B199" s="17" t="s">
        <v>307</v>
      </c>
      <c r="C199" s="26">
        <v>8752018</v>
      </c>
      <c r="D199" s="10" t="s">
        <v>45</v>
      </c>
      <c r="E199" s="11" t="s">
        <v>11</v>
      </c>
      <c r="F199" s="10">
        <v>2918140100</v>
      </c>
      <c r="G199" s="19">
        <v>491996.20877193892</v>
      </c>
      <c r="H199" t="s">
        <v>34</v>
      </c>
      <c r="I199" s="2">
        <v>5560</v>
      </c>
      <c r="J199" s="21">
        <v>0</v>
      </c>
      <c r="K199" t="s">
        <v>34</v>
      </c>
      <c r="L199" t="b">
        <v>0</v>
      </c>
      <c r="M199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199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199">
        <f>ROW()</f>
        <v>199</v>
      </c>
    </row>
    <row r="200" spans="1:15" x14ac:dyDescent="0.35">
      <c r="A200" s="8">
        <v>45897.512499999997</v>
      </c>
      <c r="B200" s="17" t="s">
        <v>308</v>
      </c>
      <c r="C200" s="26">
        <v>340343</v>
      </c>
      <c r="D200" s="10" t="s">
        <v>45</v>
      </c>
      <c r="E200" s="11" t="s">
        <v>11</v>
      </c>
      <c r="F200" s="10">
        <v>2918140100</v>
      </c>
      <c r="G200" s="19">
        <v>32562</v>
      </c>
      <c r="H200" t="s">
        <v>34</v>
      </c>
      <c r="I200" s="2">
        <v>5560</v>
      </c>
      <c r="J200" s="21">
        <v>0</v>
      </c>
      <c r="K200" t="s">
        <v>34</v>
      </c>
      <c r="L200" t="b">
        <v>0</v>
      </c>
      <c r="M200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200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200">
        <f>ROW()</f>
        <v>200</v>
      </c>
    </row>
    <row r="201" spans="1:15" x14ac:dyDescent="0.35">
      <c r="A201" s="30">
        <v>45447</v>
      </c>
      <c r="B201" s="17" t="s">
        <v>310</v>
      </c>
      <c r="C201" s="26">
        <v>373738</v>
      </c>
      <c r="D201" s="10" t="s">
        <v>196</v>
      </c>
      <c r="E201" s="11" t="s">
        <v>10</v>
      </c>
      <c r="F201" s="34" t="s">
        <v>60</v>
      </c>
      <c r="G201" s="35">
        <v>1175.2978000000001</v>
      </c>
      <c r="H201" t="s">
        <v>34</v>
      </c>
      <c r="I201" s="2">
        <v>0</v>
      </c>
      <c r="J201" s="35">
        <v>97.897599999999997</v>
      </c>
      <c r="K201" t="s">
        <v>34</v>
      </c>
      <c r="L201" t="b">
        <v>0</v>
      </c>
      <c r="M201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201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201">
        <f>ROW()</f>
        <v>201</v>
      </c>
    </row>
    <row r="202" spans="1:15" x14ac:dyDescent="0.35">
      <c r="A202" s="30">
        <v>45726</v>
      </c>
      <c r="B202" s="17" t="s">
        <v>311</v>
      </c>
      <c r="C202" s="26">
        <v>373738</v>
      </c>
      <c r="D202" s="10" t="s">
        <v>196</v>
      </c>
      <c r="E202" s="11" t="s">
        <v>10</v>
      </c>
      <c r="F202" s="34" t="s">
        <v>60</v>
      </c>
      <c r="G202" s="35">
        <v>685.38810000000001</v>
      </c>
      <c r="H202" t="s">
        <v>34</v>
      </c>
      <c r="I202" s="2">
        <v>0</v>
      </c>
      <c r="J202" s="35">
        <v>63.324399999999997</v>
      </c>
      <c r="K202" t="s">
        <v>34</v>
      </c>
      <c r="L202" t="b">
        <v>0</v>
      </c>
      <c r="M202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202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202">
        <f>ROW()</f>
        <v>202</v>
      </c>
    </row>
    <row r="203" spans="1:15" x14ac:dyDescent="0.35">
      <c r="A203" s="30">
        <v>45821</v>
      </c>
      <c r="B203" s="17" t="s">
        <v>312</v>
      </c>
      <c r="C203" s="26">
        <v>373738</v>
      </c>
      <c r="D203" s="10" t="s">
        <v>196</v>
      </c>
      <c r="E203" s="11" t="s">
        <v>10</v>
      </c>
      <c r="F203" s="34" t="s">
        <v>60</v>
      </c>
      <c r="G203" s="35">
        <v>238763.51999999999</v>
      </c>
      <c r="H203" t="s">
        <v>34</v>
      </c>
      <c r="I203" s="2">
        <v>0</v>
      </c>
      <c r="J203" s="35">
        <v>22059.8</v>
      </c>
      <c r="K203" t="s">
        <v>34</v>
      </c>
      <c r="L203" t="b">
        <v>0</v>
      </c>
      <c r="M203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203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203">
        <f>ROW()</f>
        <v>203</v>
      </c>
    </row>
    <row r="204" spans="1:15" x14ac:dyDescent="0.35">
      <c r="A204" s="32">
        <v>45870</v>
      </c>
      <c r="B204" s="18" t="s">
        <v>313</v>
      </c>
      <c r="C204" s="27">
        <v>373738</v>
      </c>
      <c r="D204" s="14" t="s">
        <v>196</v>
      </c>
      <c r="E204" s="16" t="s">
        <v>10</v>
      </c>
      <c r="F204" s="34" t="s">
        <v>60</v>
      </c>
      <c r="G204" s="35">
        <v>1884926.07</v>
      </c>
      <c r="H204" t="s">
        <v>34</v>
      </c>
      <c r="I204" s="2">
        <v>0</v>
      </c>
      <c r="J204" s="35">
        <v>174152.08499999999</v>
      </c>
      <c r="K204" t="s">
        <v>34</v>
      </c>
      <c r="L204" t="b">
        <v>0</v>
      </c>
      <c r="M204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204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204">
        <f>ROW()</f>
        <v>204</v>
      </c>
    </row>
    <row r="205" spans="1:15" x14ac:dyDescent="0.35">
      <c r="A205" s="30">
        <v>45383</v>
      </c>
      <c r="B205" s="17" t="s">
        <v>314</v>
      </c>
      <c r="C205" s="26">
        <v>871079</v>
      </c>
      <c r="D205" s="10" t="s">
        <v>58</v>
      </c>
      <c r="E205" s="11" t="s">
        <v>7</v>
      </c>
      <c r="F205" s="31" t="s">
        <v>323</v>
      </c>
      <c r="G205" s="19">
        <v>146181.166</v>
      </c>
      <c r="H205" t="s">
        <v>34</v>
      </c>
      <c r="I205" s="2">
        <v>0</v>
      </c>
      <c r="J205" s="7">
        <v>7174.5438000000004</v>
      </c>
      <c r="K205" t="s">
        <v>34</v>
      </c>
      <c r="L205" t="b">
        <v>0</v>
      </c>
      <c r="M205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205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205">
        <f>ROW()</f>
        <v>205</v>
      </c>
    </row>
    <row r="206" spans="1:15" x14ac:dyDescent="0.35">
      <c r="A206" s="30">
        <v>45413</v>
      </c>
      <c r="B206" s="17" t="s">
        <v>315</v>
      </c>
      <c r="C206" s="26">
        <v>871079</v>
      </c>
      <c r="D206" s="10" t="s">
        <v>58</v>
      </c>
      <c r="E206" s="11" t="s">
        <v>7</v>
      </c>
      <c r="F206" s="31" t="s">
        <v>323</v>
      </c>
      <c r="G206" s="19">
        <v>135721.00599999999</v>
      </c>
      <c r="H206" t="s">
        <v>34</v>
      </c>
      <c r="I206" s="2">
        <v>0</v>
      </c>
      <c r="J206" s="7">
        <v>6786.0502999999999</v>
      </c>
      <c r="K206" t="s">
        <v>34</v>
      </c>
      <c r="L206" t="b">
        <v>0</v>
      </c>
      <c r="M206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206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206">
        <f>ROW()</f>
        <v>206</v>
      </c>
    </row>
    <row r="207" spans="1:15" x14ac:dyDescent="0.35">
      <c r="A207" s="30">
        <v>45444</v>
      </c>
      <c r="B207" s="17" t="s">
        <v>316</v>
      </c>
      <c r="C207" s="26">
        <v>871079</v>
      </c>
      <c r="D207" s="10" t="s">
        <v>58</v>
      </c>
      <c r="E207" s="11" t="s">
        <v>7</v>
      </c>
      <c r="F207" s="31" t="s">
        <v>323</v>
      </c>
      <c r="G207" s="19">
        <v>132158.34299999999</v>
      </c>
      <c r="H207" t="s">
        <v>34</v>
      </c>
      <c r="I207" s="2">
        <v>0</v>
      </c>
      <c r="J207" s="7">
        <v>6607.9171999999999</v>
      </c>
      <c r="K207" t="s">
        <v>34</v>
      </c>
      <c r="L207" t="b">
        <v>0</v>
      </c>
      <c r="M207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207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207">
        <f>ROW()</f>
        <v>207</v>
      </c>
    </row>
    <row r="208" spans="1:15" x14ac:dyDescent="0.35">
      <c r="A208" s="30">
        <v>45533</v>
      </c>
      <c r="B208" s="17" t="s">
        <v>317</v>
      </c>
      <c r="C208" s="26">
        <v>871079</v>
      </c>
      <c r="D208" s="10" t="s">
        <v>58</v>
      </c>
      <c r="E208" s="11" t="s">
        <v>7</v>
      </c>
      <c r="F208" s="31" t="s">
        <v>323</v>
      </c>
      <c r="G208" s="19">
        <v>117188.82399999999</v>
      </c>
      <c r="H208" t="s">
        <v>34</v>
      </c>
      <c r="I208" s="2">
        <v>0</v>
      </c>
      <c r="J208" s="7">
        <v>0</v>
      </c>
      <c r="K208" t="s">
        <v>34</v>
      </c>
      <c r="L208" t="b">
        <v>0</v>
      </c>
      <c r="M208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208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208">
        <f>ROW()</f>
        <v>208</v>
      </c>
    </row>
    <row r="209" spans="1:15" x14ac:dyDescent="0.35">
      <c r="A209" s="30">
        <v>45596</v>
      </c>
      <c r="B209" s="17" t="s">
        <v>318</v>
      </c>
      <c r="C209" s="26">
        <v>871079</v>
      </c>
      <c r="D209" s="10" t="s">
        <v>58</v>
      </c>
      <c r="E209" s="11" t="s">
        <v>7</v>
      </c>
      <c r="F209" s="31" t="s">
        <v>323</v>
      </c>
      <c r="G209" s="19">
        <v>255987.823</v>
      </c>
      <c r="H209" t="s">
        <v>34</v>
      </c>
      <c r="I209" s="2">
        <v>0</v>
      </c>
      <c r="J209" s="7">
        <v>0</v>
      </c>
      <c r="K209" t="s">
        <v>34</v>
      </c>
      <c r="L209" t="b">
        <v>0</v>
      </c>
      <c r="M209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209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209">
        <f>ROW()</f>
        <v>209</v>
      </c>
    </row>
    <row r="210" spans="1:15" x14ac:dyDescent="0.35">
      <c r="A210" s="30">
        <v>45632</v>
      </c>
      <c r="B210" s="17" t="s">
        <v>319</v>
      </c>
      <c r="C210" s="26">
        <v>871079</v>
      </c>
      <c r="D210" s="10" t="s">
        <v>58</v>
      </c>
      <c r="E210" s="11" t="s">
        <v>7</v>
      </c>
      <c r="F210" s="31" t="s">
        <v>323</v>
      </c>
      <c r="G210" s="19">
        <v>125253.72900000001</v>
      </c>
      <c r="H210" t="s">
        <v>34</v>
      </c>
      <c r="I210" s="2">
        <v>0</v>
      </c>
      <c r="J210" s="7">
        <v>0</v>
      </c>
      <c r="K210" t="s">
        <v>34</v>
      </c>
      <c r="L210" t="b">
        <v>0</v>
      </c>
      <c r="M210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210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210">
        <f>ROW()</f>
        <v>210</v>
      </c>
    </row>
    <row r="211" spans="1:15" x14ac:dyDescent="0.35">
      <c r="A211" s="30">
        <v>45685</v>
      </c>
      <c r="B211" s="17" t="s">
        <v>320</v>
      </c>
      <c r="C211" s="26">
        <v>871079</v>
      </c>
      <c r="D211" s="10" t="s">
        <v>58</v>
      </c>
      <c r="E211" s="11" t="s">
        <v>7</v>
      </c>
      <c r="F211" s="31" t="s">
        <v>323</v>
      </c>
      <c r="G211" s="19">
        <v>259978.07500000001</v>
      </c>
      <c r="H211" t="s">
        <v>34</v>
      </c>
      <c r="I211" s="2">
        <v>0</v>
      </c>
      <c r="J211" s="7">
        <v>0</v>
      </c>
      <c r="K211" t="s">
        <v>34</v>
      </c>
      <c r="L211" t="b">
        <v>0</v>
      </c>
      <c r="M211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211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211">
        <f>ROW()</f>
        <v>211</v>
      </c>
    </row>
    <row r="212" spans="1:15" x14ac:dyDescent="0.35">
      <c r="A212" s="30">
        <v>45712</v>
      </c>
      <c r="B212" s="17" t="s">
        <v>321</v>
      </c>
      <c r="C212" s="26">
        <v>871079</v>
      </c>
      <c r="D212" s="10" t="s">
        <v>58</v>
      </c>
      <c r="E212" s="11" t="s">
        <v>7</v>
      </c>
      <c r="F212" s="31" t="s">
        <v>323</v>
      </c>
      <c r="G212" s="19">
        <v>270695.212</v>
      </c>
      <c r="H212" t="s">
        <v>34</v>
      </c>
      <c r="I212" s="2">
        <v>0</v>
      </c>
      <c r="J212" s="7">
        <v>13245.311600000001</v>
      </c>
      <c r="K212" t="s">
        <v>34</v>
      </c>
      <c r="L212" t="b">
        <v>0</v>
      </c>
      <c r="M212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212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212">
        <f>ROW()</f>
        <v>212</v>
      </c>
    </row>
    <row r="213" spans="1:15" x14ac:dyDescent="0.35">
      <c r="A213" s="32">
        <v>45785</v>
      </c>
      <c r="B213" s="18" t="s">
        <v>322</v>
      </c>
      <c r="C213" s="27">
        <v>871079</v>
      </c>
      <c r="D213" s="14" t="s">
        <v>58</v>
      </c>
      <c r="E213" s="16" t="s">
        <v>7</v>
      </c>
      <c r="F213" s="33" t="s">
        <v>323</v>
      </c>
      <c r="G213" s="19">
        <v>126473.504</v>
      </c>
      <c r="H213" t="s">
        <v>34</v>
      </c>
      <c r="I213" s="2">
        <v>0</v>
      </c>
      <c r="J213" s="7">
        <v>0</v>
      </c>
      <c r="K213" t="s">
        <v>34</v>
      </c>
      <c r="L213" t="b">
        <v>0</v>
      </c>
      <c r="M213" t="b">
        <f>COUNTIFS(Transactions[Invoice Number],Transactions[[#This Row],[Invoice Number]],Transactions[Material Number],Transactions[[#This Row],[Material Number]],Transactions[COO],Transactions[[#This Row],[COO]],Transactions[COI],Transactions[[#This Row],[COI]],Transactions[HS Code],Transactions[[#This Row],[HS Code]],Transactions[Customs Value],Transactions[[#This Row],[Customs Value]],Transactions[Date],Transactions[[#This Row],[Date]],Transactions[Duty Paid],Transactions[[#This Row],[Duty Paid]],Transactions[ID],"&lt;"&amp;Transactions[[#This Row],[ID]])&gt;0</f>
        <v>0</v>
      </c>
      <c r="N213" t="str">
        <f>IF(OR(Transactions[[#This Row],[Date]]&lt;44927,Transactions[[#This Row],[Date]]&gt;47484),"Wrong Date",
IF(LEN(Transactions[[#This Row],[COO]])&lt;&gt;2,"Wrong COO",
IF(LEN(Transactions[[#This Row],[COI]])&lt;&gt;2,"Wrong COI",
IF(LEN(Transactions[[#This Row],[HS Code]])&lt;6,"Wrong HS Code",
IF(LEN(Transactions[[#This Row],[CV Currency]])&lt;&gt;3,"Wrong CV Currency",
IF(LEN(Transactions[[#This Row],[DP Currency]])&lt;&gt;3,"Wrong DP Currency",
IF(OR(NOT(ISNUMBER(Transactions[[#This Row],[Customs Value]])),Transactions[[#This Row],[Customs Value]]=0),"No Customs Value",
IF(ISNUMBER(Transactions[[#This Row],[Duty Paid]])=FALSE,"No Duty Paid",
IF(Transactions[[#This Row],[COO]]=Transactions[[#This Row],[COI]],"COI=COO",
IF(Transactions[[#This Row],[Duty Paid]]&gt;Transactions[[#This Row],[Customs Value]],"&gt;100% Duty Rate",
IF(AND(Transactions[[#This Row],[Customs Value]]&gt;10000000,OR(Transactions[[#This Row],[CV Currency]]="USD",Transactions[[#This Row],[CV Currency]]="EUR")),"High Customs Value",
IF(Transactions[[#This Row],[Analyzed]]="ERROR","API Error",
""))))))))))))</f>
        <v/>
      </c>
      <c r="O213">
        <f>ROW()</f>
        <v>213</v>
      </c>
    </row>
  </sheetData>
  <conditionalFormatting sqref="L2:L213">
    <cfRule type="cellIs" dxfId="5" priority="21" operator="equal">
      <formula>TRUE</formula>
    </cfRule>
    <cfRule type="cellIs" dxfId="4" priority="22" operator="equal">
      <formula>FALSE</formula>
    </cfRule>
  </conditionalFormatting>
  <conditionalFormatting sqref="M2:M213">
    <cfRule type="containsText" dxfId="3" priority="19" operator="containsText" text="TRUE">
      <formula>NOT(ISERROR(SEARCH("TRUE",M2)))</formula>
    </cfRule>
    <cfRule type="containsText" dxfId="2" priority="20" operator="containsText" text="FALSE">
      <formula>NOT(ISERROR(SEARCH("FALSE",M2)))</formula>
    </cfRule>
  </conditionalFormatting>
  <conditionalFormatting sqref="N2:N213">
    <cfRule type="notContainsBlanks" dxfId="1" priority="23">
      <formula>LEN(TRIM(N2))&gt;0</formula>
    </cfRule>
  </conditionalFormatting>
  <conditionalFormatting sqref="O1 O201:O1048576">
    <cfRule type="duplicateValues" dxfId="0" priority="34"/>
  </conditionalFormatting>
  <pageMargins left="0.7" right="0.7" top="0.75" bottom="0.75" header="0.3" footer="0.3"/>
  <pageSetup orientation="portrait"/>
  <headerFooter>
    <oddFooter>&amp;R&amp;"Calibri"&amp;22 &amp;KFF8939_x000D_# RESTRICTED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b7f586-f5a4-47ad-8408-998d44a0a646">
      <Terms xmlns="http://schemas.microsoft.com/office/infopath/2007/PartnerControls"/>
    </lcf76f155ced4ddcb4097134ff3c332f>
    <TaxCatchAll xmlns="6e280d5c-47a4-49f2-adb9-1bca783c88c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379C79835A114C94B8B76E5B4F7ADE" ma:contentTypeVersion="11" ma:contentTypeDescription="Create a new document." ma:contentTypeScope="" ma:versionID="dbbc8eb57fe3472ca0128dd96caf2c1c">
  <xsd:schema xmlns:xsd="http://www.w3.org/2001/XMLSchema" xmlns:xs="http://www.w3.org/2001/XMLSchema" xmlns:p="http://schemas.microsoft.com/office/2006/metadata/properties" xmlns:ns2="84b7f586-f5a4-47ad-8408-998d44a0a646" xmlns:ns3="6e280d5c-47a4-49f2-adb9-1bca783c88ca" targetNamespace="http://schemas.microsoft.com/office/2006/metadata/properties" ma:root="true" ma:fieldsID="2de392ebd7d48b97407c472e9dad99ed" ns2:_="" ns3:_="">
    <xsd:import namespace="84b7f586-f5a4-47ad-8408-998d44a0a646"/>
    <xsd:import namespace="6e280d5c-47a4-49f2-adb9-1bca783c88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b7f586-f5a4-47ad-8408-998d44a0a6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280d5c-47a4-49f2-adb9-1bca783c88c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2cc88f4-f7d6-4edb-87e8-add7a30aa3e4}" ma:internalName="TaxCatchAll" ma:showField="CatchAllData" ma:web="6e280d5c-47a4-49f2-adb9-1bca783c88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E39364E-99DC-4C70-8792-50F339DD810F}">
  <ds:schemaRefs>
    <ds:schemaRef ds:uri="http://schemas.microsoft.com/office/2006/metadata/properties"/>
    <ds:schemaRef ds:uri="http://schemas.microsoft.com/office/infopath/2007/PartnerControls"/>
    <ds:schemaRef ds:uri="84b7f586-f5a4-47ad-8408-998d44a0a646"/>
    <ds:schemaRef ds:uri="6e280d5c-47a4-49f2-adb9-1bca783c88ca"/>
  </ds:schemaRefs>
</ds:datastoreItem>
</file>

<file path=customXml/itemProps2.xml><?xml version="1.0" encoding="utf-8"?>
<ds:datastoreItem xmlns:ds="http://schemas.openxmlformats.org/officeDocument/2006/customXml" ds:itemID="{1F541856-3460-44A4-8208-9342F3C7ED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BED5EE5-1343-4799-A630-702DDC61B5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b7f586-f5a4-47ad-8408-998d44a0a646"/>
    <ds:schemaRef ds:uri="6e280d5c-47a4-49f2-adb9-1bca783c88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Piña Aymar, Oriol</dc:creator>
  <cp:lastModifiedBy>Piña Aymar, Oriol</cp:lastModifiedBy>
  <dcterms:created xsi:type="dcterms:W3CDTF">2025-03-10T08:48:14Z</dcterms:created>
  <dcterms:modified xsi:type="dcterms:W3CDTF">2026-06-08T12:17:40Z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0x010100D4379C79835A114C94B8B76E5B4F7ADE</vt:lpwstr>
  </property>
  <property fmtid="{D5CDD505-2E9C-101B-9397-08002B2CF9AE}" pid="3" name="MediaServiceImageTags">
    <vt:lpwstr/>
  </property>
  <property fmtid="{D5CDD505-2E9C-101B-9397-08002B2CF9AE}" pid="4" name="MSIP_Label_2c76c141-ac86-40e5-abf2-c6f60e474cee_Enabled">
    <vt:lpwstr>true</vt:lpwstr>
  </property>
  <property fmtid="{D5CDD505-2E9C-101B-9397-08002B2CF9AE}" pid="5" name="MSIP_Label_2c76c141-ac86-40e5-abf2-c6f60e474cee_SetDate">
    <vt:lpwstr>2025-06-03T10:46:50Z</vt:lpwstr>
  </property>
  <property fmtid="{D5CDD505-2E9C-101B-9397-08002B2CF9AE}" pid="6" name="MSIP_Label_2c76c141-ac86-40e5-abf2-c6f60e474cee_Method">
    <vt:lpwstr>Standard</vt:lpwstr>
  </property>
  <property fmtid="{D5CDD505-2E9C-101B-9397-08002B2CF9AE}" pid="7" name="MSIP_Label_2c76c141-ac86-40e5-abf2-c6f60e474cee_Name">
    <vt:lpwstr>2c76c141-ac86-40e5-abf2-c6f60e474cee</vt:lpwstr>
  </property>
  <property fmtid="{D5CDD505-2E9C-101B-9397-08002B2CF9AE}" pid="8" name="MSIP_Label_2c76c141-ac86-40e5-abf2-c6f60e474cee_SiteId">
    <vt:lpwstr>fcb2b37b-5da0-466b-9b83-0014b67a7c78</vt:lpwstr>
  </property>
  <property fmtid="{D5CDD505-2E9C-101B-9397-08002B2CF9AE}" pid="9" name="MSIP_Label_2c76c141-ac86-40e5-abf2-c6f60e474cee_ActionId">
    <vt:lpwstr>85b0eaa3-d361-498c-8abe-f92dc6cefc09</vt:lpwstr>
  </property>
  <property fmtid="{D5CDD505-2E9C-101B-9397-08002B2CF9AE}" pid="10" name="MSIP_Label_2c76c141-ac86-40e5-abf2-c6f60e474cee_ContentBits">
    <vt:lpwstr>2</vt:lpwstr>
  </property>
  <property fmtid="{D5CDD505-2E9C-101B-9397-08002B2CF9AE}" pid="11" name="MSIP_Label_2c76c141-ac86-40e5-abf2-c6f60e474cee_Tag">
    <vt:lpwstr>10, 3, 0, 1</vt:lpwstr>
  </property>
</Properties>
</file>